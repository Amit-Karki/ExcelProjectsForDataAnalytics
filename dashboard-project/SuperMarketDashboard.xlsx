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Downloads\Dashboard Projects\"/>
    </mc:Choice>
  </mc:AlternateContent>
  <xr:revisionPtr revIDLastSave="0" documentId="13_ncr:1_{83438644-7873-4C13-84A1-CC101AF4062A}" xr6:coauthVersionLast="36" xr6:coauthVersionMax="36" xr10:uidLastSave="{00000000-0000-0000-0000-000000000000}"/>
  <bookViews>
    <workbookView xWindow="0" yWindow="0" windowWidth="20490" windowHeight="7425" firstSheet="9" activeTab="9" xr2:uid="{27220ACC-C047-493E-95A7-79B894C6436D}"/>
  </bookViews>
  <sheets>
    <sheet name="Data Validation" sheetId="13" state="hidden" r:id="rId1"/>
    <sheet name="ProductsnPayements" sheetId="16" state="hidden" r:id="rId2"/>
    <sheet name="BranchA" sheetId="3" state="hidden" r:id="rId3"/>
    <sheet name="BranchA info" sheetId="6" state="hidden" r:id="rId4"/>
    <sheet name="BranchB" sheetId="4" state="hidden" r:id="rId5"/>
    <sheet name="Branch B info" sheetId="9" state="hidden" r:id="rId6"/>
    <sheet name="BranchC" sheetId="5" state="hidden" r:id="rId7"/>
    <sheet name="BranchC info" sheetId="8" state="hidden" r:id="rId8"/>
    <sheet name="GraphData" sheetId="15" state="hidden" r:id="rId9"/>
    <sheet name="Project Dashboard" sheetId="14" r:id="rId10"/>
    <sheet name="SuperMarket Sales Data" sheetId="2" state="hidden" r:id="rId11"/>
  </sheets>
  <definedNames>
    <definedName name="_xlcn.WorksheetConnection_Book1Branch_B__Mandaly_City1" hidden="1">Branch_B__Mandaly_City[]</definedName>
    <definedName name="_xlcn.WorksheetConnection_Book1Branch_C_Naypyitaw_City1" hidden="1">Branch_C_Naypyitaw_City[]</definedName>
    <definedName name="_xlcn.WorksheetConnection_Book1BranchA_Yangon_City1" hidden="1">BranchA_Yangon_City[]</definedName>
    <definedName name="AllAverage">'Data Validation'!$C$13</definedName>
    <definedName name="AllbranchQuantiy">'Data Validation'!$Q$8</definedName>
    <definedName name="AllBranchRevenue">'Data Validation'!$M$10</definedName>
    <definedName name="AverageBRating">'Branch B info'!$C$12</definedName>
    <definedName name="AverageCRating">'BranchC info'!$H$15</definedName>
    <definedName name="AverageFilter">'Data Validation'!$G$13</definedName>
    <definedName name="BranchAAverage">'BranchA info'!$C$15</definedName>
    <definedName name="BranchAQuantity">'BranchA info'!$O$14</definedName>
    <definedName name="BranchARevenue">'BranchA info'!$L$13</definedName>
    <definedName name="BranchBQuantity">'Branch B info'!$T$12</definedName>
    <definedName name="BranchBRevenue">'Branch B info'!$Q$14</definedName>
    <definedName name="BranchCQuantity">'BranchC info'!$E$15</definedName>
    <definedName name="BranchCRevenue">'BranchC info'!$P$15</definedName>
    <definedName name="BranchQuantityFilter">'Data Validation'!$Q$12</definedName>
    <definedName name="CustomerCount">'Data Validation'!$D$6</definedName>
    <definedName name="CustomerCountA">'BranchA info'!$Q$11</definedName>
    <definedName name="CustomerCountB">'Branch B info'!$A$12</definedName>
    <definedName name="CustomerCountC">'BranchC info'!$B$15</definedName>
    <definedName name="ExternalData_1" localSheetId="10" hidden="1">'SuperMarket Sales Data'!$A$1:$Q$1001</definedName>
    <definedName name="ExternalData_3" localSheetId="4" hidden="1">BranchB!$A$1:$N$333</definedName>
    <definedName name="ExternalData_4" localSheetId="6" hidden="1">BranchC!$A$1:$N$329</definedName>
    <definedName name="GrossProfitAllBranch">'Data Validation'!$I$14</definedName>
    <definedName name="GrossProfitBranchA">'BranchA info'!$A$15</definedName>
    <definedName name="GrossProfitBranchB">'Branch B info'!$K$15</definedName>
    <definedName name="GrossProfitBranchC">'BranchC info'!$K$17</definedName>
    <definedName name="GrossProfitFilter">'Data Validation'!$L$14</definedName>
    <definedName name="InputBranch">'Project Dashboard'!$F$10</definedName>
    <definedName name="InputCustomertyp">'Project Dashboard'!$J$10</definedName>
    <definedName name="Inputgender">'Project Dashboard'!$H$10</definedName>
    <definedName name="InputPayementMethod">'Project Dashboard'!$L$10</definedName>
    <definedName name="LeasPurchasedB">ProductsnPayements!$G$10</definedName>
    <definedName name="LeastPurchasedAllbranch">ProductsnPayements!$R$10</definedName>
    <definedName name="LeastPurchasedBB">ProductsnPayements!$H$10</definedName>
    <definedName name="LeastPurchasedBC">ProductsnPayements!$M$10</definedName>
    <definedName name="LeastPurchasedC">ProductsnPayements!$L$10</definedName>
    <definedName name="LeastPurchasednumberALLB">ProductsnPayements!$S$10</definedName>
    <definedName name="LeastPurchasednumberBA">ProductsnPayements!$C$10</definedName>
    <definedName name="LeastPurchaseedA">ProductsnPayements!$B$10</definedName>
    <definedName name="LeastPurchaseFilter">'Data Validation'!$R$15</definedName>
    <definedName name="LeastPurchaseFilterNumber">'Data Validation'!$R$16</definedName>
    <definedName name="MostPayementAFilter">ProductsnPayements!$A$19</definedName>
    <definedName name="MostPayementAllBranchFilter">ProductsnPayements!$P$19</definedName>
    <definedName name="MostPayementAno">ProductsnPayements!$B$19</definedName>
    <definedName name="MostPayementBFilter">ProductsnPayements!$G$19</definedName>
    <definedName name="MostPayementBNo">ProductsnPayements!$H$19</definedName>
    <definedName name="MostPayementCfilter">ProductsnPayements!$L$19</definedName>
    <definedName name="MostPayementCNO">ProductsnPayements!$M$19</definedName>
    <definedName name="MostPayementNO">ProductsnPayements!$Q$19</definedName>
    <definedName name="MostpruchasedNumberBA">ProductsnPayements!$C$9</definedName>
    <definedName name="MostPurchasedA">ProductsnPayements!$B$9</definedName>
    <definedName name="MostPurchasedAllbranch">ProductsnPayements!$R$9</definedName>
    <definedName name="MostPurchasedB">ProductsnPayements!$G$9</definedName>
    <definedName name="MostPurchasedBB">ProductsnPayements!$H$9</definedName>
    <definedName name="MostPurchasedBC">ProductsnPayements!$M$9</definedName>
    <definedName name="MostPurchasedC">ProductsnPayements!$L$9</definedName>
    <definedName name="MostPurchasedNumberAllB">ProductsnPayements!$S$9</definedName>
    <definedName name="MostPurchaseFilter">'Data Validation'!$O$15</definedName>
    <definedName name="MostPurchaseFilterNumber">'Data Validation'!$O$16</definedName>
    <definedName name="PayementFilter">'Data Validation'!$G$18</definedName>
    <definedName name="TotalCustomer">'Data Validation'!$I$10</definedName>
    <definedName name="TotalCustomers">'Data Validation'!$J$6</definedName>
    <definedName name="TotalRevenue">'Data Validation'!$H$6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A_Yangon_City" name="BranchA_Yangon_City" connection="WorksheetConnection_Book1!BranchA_Yangon_City"/>
          <x15:modelTable id="Branch_C_Naypyitaw_City" name="Branch_C_Naypyitaw_City" connection="WorksheetConnection_Book1!Branch_C_Naypyitaw_City"/>
          <x15:modelTable id="Branch_B__Mandaly_City" name="Branch_B__Mandaly_City" connection="WorksheetConnection_Book1!Branch_B__Mandaly_City"/>
        </x15:modelTables>
      </x15:dataModel>
    </ext>
  </extLst>
</workbook>
</file>

<file path=xl/calcChain.xml><?xml version="1.0" encoding="utf-8"?>
<calcChain xmlns="http://schemas.openxmlformats.org/spreadsheetml/2006/main">
  <c r="P15" i="8" l="1"/>
  <c r="Q14" i="9"/>
  <c r="L13" i="6"/>
  <c r="T12" i="9"/>
  <c r="E15" i="8"/>
  <c r="O14" i="6"/>
  <c r="B15" i="8"/>
  <c r="A12" i="9"/>
  <c r="Q11" i="6"/>
  <c r="B14" i="16"/>
  <c r="K17" i="8"/>
  <c r="K15" i="9"/>
  <c r="A15" i="6"/>
  <c r="H15" i="8"/>
  <c r="C12" i="9"/>
  <c r="C15" i="6"/>
  <c r="C4" i="16"/>
  <c r="O3" i="16"/>
  <c r="O4" i="16"/>
  <c r="O5" i="16"/>
  <c r="O6" i="16"/>
  <c r="O7" i="16"/>
  <c r="O2" i="16"/>
  <c r="M15" i="16"/>
  <c r="M16" i="16"/>
  <c r="M14" i="16"/>
  <c r="H14" i="16"/>
  <c r="C2" i="16"/>
  <c r="H15" i="16"/>
  <c r="H16" i="16"/>
  <c r="I3" i="16"/>
  <c r="I4" i="16"/>
  <c r="I5" i="16"/>
  <c r="I6" i="16"/>
  <c r="I7" i="16"/>
  <c r="I2" i="16"/>
  <c r="B15" i="16"/>
  <c r="B16" i="16"/>
  <c r="C3" i="16"/>
  <c r="C5" i="16"/>
  <c r="C6" i="16"/>
  <c r="C7" i="16"/>
  <c r="Q15" i="16" l="1"/>
  <c r="H19" i="16"/>
  <c r="G19" i="16" s="1"/>
  <c r="H9" i="15" s="1"/>
  <c r="B19" i="16"/>
  <c r="A19" i="16" s="1"/>
  <c r="H8" i="15" s="1"/>
  <c r="Q16" i="16"/>
  <c r="B10" i="15"/>
  <c r="D10" i="15" s="1"/>
  <c r="B9" i="15"/>
  <c r="D9" i="15" s="1"/>
  <c r="I9" i="15" l="1"/>
  <c r="C9" i="15"/>
  <c r="I8" i="15"/>
  <c r="C10" i="15"/>
  <c r="B8" i="15"/>
  <c r="C8" i="15" s="1"/>
  <c r="M10" i="16"/>
  <c r="L10" i="16" s="1"/>
  <c r="S3" i="16"/>
  <c r="S4" i="16"/>
  <c r="S7" i="16"/>
  <c r="S6" i="16"/>
  <c r="D8" i="15" l="1"/>
  <c r="S2" i="16"/>
  <c r="M9" i="16"/>
  <c r="L9" i="16" s="1"/>
  <c r="S5" i="16"/>
  <c r="C10" i="16"/>
  <c r="B10" i="16" s="1"/>
  <c r="H10" i="16"/>
  <c r="C9" i="16"/>
  <c r="H9" i="16"/>
  <c r="G9" i="16" s="1"/>
  <c r="I14" i="13"/>
  <c r="C13" i="13"/>
  <c r="G13" i="13" s="1"/>
  <c r="N28" i="14" s="1"/>
  <c r="L14" i="13" l="1"/>
  <c r="L28" i="14"/>
  <c r="B9" i="16"/>
  <c r="G10" i="16"/>
  <c r="R15" i="13" s="1"/>
  <c r="S10" i="16"/>
  <c r="R10" i="16" s="1"/>
  <c r="J36" i="14" s="1"/>
  <c r="S9" i="16"/>
  <c r="O16" i="13" s="1"/>
  <c r="Q8" i="13"/>
  <c r="Q12" i="13" s="1"/>
  <c r="J6" i="13"/>
  <c r="I10" i="13" s="1"/>
  <c r="E28" i="14" s="1"/>
  <c r="B3" i="15"/>
  <c r="B4" i="15"/>
  <c r="D3" i="15" l="1"/>
  <c r="C3" i="15"/>
  <c r="D4" i="15"/>
  <c r="C4" i="15"/>
  <c r="R16" i="13"/>
  <c r="R9" i="16"/>
  <c r="F36" i="14" s="1"/>
  <c r="M10" i="13"/>
  <c r="H6" i="13" s="1"/>
  <c r="A28" i="14" s="1"/>
  <c r="B2" i="15"/>
  <c r="C2" i="15" s="1"/>
  <c r="O15" i="13" l="1"/>
  <c r="D2" i="15"/>
  <c r="A7" i="6"/>
  <c r="M19" i="16" l="1"/>
  <c r="L19" i="16" s="1"/>
  <c r="H10" i="15" s="1"/>
  <c r="Q14" i="16"/>
  <c r="Q19" i="16" s="1"/>
  <c r="P19" i="16" s="1"/>
  <c r="G18" i="13" l="1"/>
  <c r="H28" i="14"/>
  <c r="I10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BF5EB-F091-41A9-B626-235851EF7CAE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16B343-AB36-44B5-A1B9-4B6570EFF13A}" name="WorksheetConnection_Book1!Branch_B__Mandaly_City" type="102" refreshedVersion="6" minRefreshableVersion="5">
    <extLst>
      <ext xmlns:x15="http://schemas.microsoft.com/office/spreadsheetml/2010/11/main" uri="{DE250136-89BD-433C-8126-D09CA5730AF9}">
        <x15:connection id="Branch_B__Mandaly_City">
          <x15:rangePr sourceName="_xlcn.WorksheetConnection_Book1Branch_B__Mandaly_City1"/>
        </x15:connection>
      </ext>
    </extLst>
  </connection>
  <connection id="3" xr16:uid="{FBD2F021-0CAA-4CFD-88CE-57B3E199C160}" name="WorksheetConnection_Book1!Branch_C_Naypyitaw_City" type="102" refreshedVersion="6" minRefreshableVersion="5">
    <extLst>
      <ext xmlns:x15="http://schemas.microsoft.com/office/spreadsheetml/2010/11/main" uri="{DE250136-89BD-433C-8126-D09CA5730AF9}">
        <x15:connection id="Branch_C_Naypyitaw_City">
          <x15:rangePr sourceName="_xlcn.WorksheetConnection_Book1Branch_C_Naypyitaw_City1"/>
        </x15:connection>
      </ext>
    </extLst>
  </connection>
  <connection id="4" xr16:uid="{53C8B287-5272-48D0-BB42-053C280040D4}" name="WorksheetConnection_Book1!BranchA_Yangon_City" type="102" refreshedVersion="6" minRefreshableVersion="5">
    <extLst>
      <ext xmlns:x15="http://schemas.microsoft.com/office/spreadsheetml/2010/11/main" uri="{DE250136-89BD-433C-8126-D09CA5730AF9}">
        <x15:connection id="BranchA_Yangon_City">
          <x15:rangePr sourceName="_xlcn.WorksheetConnection_Book1BranchA_Yangon_City1"/>
        </x15:connection>
      </ext>
    </extLst>
  </connection>
</connections>
</file>

<file path=xl/sharedStrings.xml><?xml version="1.0" encoding="utf-8"?>
<sst xmlns="http://schemas.openxmlformats.org/spreadsheetml/2006/main" count="12186" uniqueCount="1083">
  <si>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</si>
  <si>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</si>
  <si>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</si>
  <si>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</si>
  <si>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</si>
  <si>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</si>
  <si>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</si>
  <si>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</si>
  <si>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</si>
  <si>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</si>
  <si>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</si>
  <si>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</si>
  <si>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</si>
  <si>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</si>
  <si>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</si>
  <si>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</si>
  <si>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</si>
  <si>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</si>
  <si>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</si>
  <si>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</si>
  <si>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</si>
  <si>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</si>
  <si>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</si>
  <si>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</si>
  <si>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</si>
  <si>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</si>
  <si>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</si>
  <si>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</si>
  <si>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</si>
  <si>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</si>
  <si>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</si>
  <si>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</si>
  <si>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</si>
  <si>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</si>
  <si>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</si>
  <si>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</si>
  <si>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</si>
  <si>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</si>
  <si>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</si>
  <si>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</si>
  <si>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</si>
  <si>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</si>
  <si>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</si>
  <si>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</si>
  <si>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</si>
  <si>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</si>
  <si>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</si>
  <si>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</si>
  <si>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</si>
  <si>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</si>
  <si>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</si>
  <si>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</si>
  <si>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</si>
  <si>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</si>
  <si>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</si>
  <si>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</si>
  <si>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</si>
  <si>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</si>
  <si>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</si>
  <si>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</si>
  <si>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</si>
  <si>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</si>
  <si>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</si>
  <si>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</si>
  <si>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</si>
  <si>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</si>
  <si>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</si>
  <si>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</si>
  <si>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</si>
  <si>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</si>
  <si>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</si>
  <si>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</si>
  <si>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</si>
  <si>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</si>
  <si>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</si>
  <si>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</si>
  <si>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</si>
  <si>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</si>
  <si>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</si>
  <si>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</si>
  <si>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</si>
  <si>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</si>
  <si>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</si>
  <si>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</si>
  <si>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</si>
  <si>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</si>
  <si>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</si>
  <si>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</si>
  <si>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</si>
  <si>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</si>
  <si>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</si>
  <si>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</si>
  <si>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</si>
  <si>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</si>
  <si>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</si>
  <si>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</si>
  <si>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</si>
  <si>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</si>
  <si>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</si>
  <si>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</si>
  <si>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</si>
  <si>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</si>
  <si>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</si>
  <si>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</si>
  <si>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</si>
  <si>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</si>
  <si>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</si>
  <si>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</si>
  <si>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</si>
  <si>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</si>
  <si>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</si>
  <si>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</si>
  <si>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</si>
  <si>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</si>
  <si>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</si>
  <si>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</si>
  <si>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</si>
  <si>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</si>
  <si>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</si>
  <si>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</si>
  <si>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</si>
  <si>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</si>
  <si>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</si>
  <si>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</si>
  <si>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</si>
  <si>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</si>
  <si>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</si>
  <si>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</si>
  <si>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</si>
  <si>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</si>
  <si>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</si>
  <si>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</si>
  <si>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</si>
  <si>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</si>
  <si>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</si>
  <si>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</si>
  <si>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</si>
  <si>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</si>
  <si>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</si>
  <si>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</si>
  <si>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</si>
  <si>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</si>
  <si>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</si>
  <si>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</si>
  <si>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</si>
  <si>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</si>
  <si>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</si>
  <si>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</si>
  <si>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</si>
  <si>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</si>
  <si>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</si>
  <si>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</si>
  <si>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</si>
  <si>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</si>
  <si>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</si>
  <si>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</si>
  <si>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</si>
  <si>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</si>
  <si>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</si>
  <si>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</si>
  <si>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</si>
  <si>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</si>
  <si>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</si>
  <si>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</si>
  <si>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</si>
  <si>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</si>
  <si>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</si>
  <si>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</si>
  <si>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</si>
  <si>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</si>
  <si>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</si>
  <si>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</si>
  <si>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</si>
  <si>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</si>
  <si>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</si>
  <si>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</si>
  <si>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</si>
  <si>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</si>
  <si>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</si>
  <si>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</si>
  <si>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</si>
  <si>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</si>
  <si>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</si>
  <si>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</si>
  <si>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</si>
  <si>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</si>
  <si>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</si>
  <si>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</si>
  <si>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</si>
  <si>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</si>
  <si>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</si>
  <si>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</si>
  <si>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</si>
  <si>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</si>
  <si>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</si>
  <si>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</si>
  <si>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</si>
  <si>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</si>
  <si>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</si>
  <si>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</si>
  <si>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</si>
  <si>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</si>
  <si>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</si>
  <si>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</si>
  <si>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</si>
  <si>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</si>
  <si>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</si>
  <si>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</si>
  <si>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</si>
  <si>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</si>
  <si>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</si>
  <si>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</si>
  <si>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</si>
  <si>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</si>
  <si>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</si>
  <si>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</si>
  <si>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</si>
  <si>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</si>
  <si>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</si>
  <si>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</si>
  <si>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</si>
  <si>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</si>
  <si>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</si>
  <si>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</si>
  <si>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</si>
  <si>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</si>
  <si>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</si>
  <si>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</si>
  <si>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</si>
  <si>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</si>
  <si>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</si>
  <si>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</si>
  <si>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</si>
  <si>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</si>
  <si>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</si>
  <si>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</si>
  <si>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</si>
  <si>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</si>
  <si>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</si>
  <si>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</si>
  <si>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</si>
  <si>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</si>
  <si>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</si>
  <si>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</si>
  <si>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</si>
  <si>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</si>
  <si>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</si>
  <si>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</si>
  <si>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</si>
  <si>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</si>
  <si>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</si>
  <si>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</si>
  <si>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</si>
  <si>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</si>
  <si>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</si>
  <si>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</si>
  <si>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</si>
  <si>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</si>
  <si>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</si>
  <si>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</si>
  <si>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</si>
  <si>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</si>
  <si>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</si>
  <si>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</si>
  <si>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</si>
  <si>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</si>
  <si>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</si>
  <si>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</si>
  <si>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</si>
  <si>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</si>
  <si>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</si>
  <si>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</si>
  <si>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</si>
  <si>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</si>
  <si>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</si>
  <si>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</si>
  <si>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</si>
  <si>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</si>
  <si>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</si>
  <si>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</si>
  <si>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</si>
  <si>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</si>
  <si>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</si>
  <si>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</si>
  <si>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</si>
  <si>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</si>
  <si>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</si>
  <si>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</si>
  <si>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</si>
  <si>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</si>
  <si>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</si>
  <si>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</si>
  <si>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</si>
  <si>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</si>
  <si>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</si>
  <si>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</si>
  <si>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</si>
  <si>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</si>
  <si>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</si>
  <si>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</si>
  <si>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</si>
  <si>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</si>
  <si>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</si>
  <si>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</si>
  <si>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</si>
  <si>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</si>
  <si>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</si>
  <si>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</si>
  <si>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</si>
  <si>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</si>
  <si>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</si>
  <si>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</si>
  <si>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</si>
  <si>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</si>
  <si>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</si>
  <si>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</si>
  <si>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</si>
  <si>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</si>
  <si>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</si>
  <si>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</si>
  <si>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</si>
  <si>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</si>
  <si>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</si>
  <si>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</si>
  <si>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</si>
  <si>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</si>
  <si>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</si>
  <si>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</si>
  <si>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</si>
  <si>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</si>
  <si>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</si>
  <si>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</si>
  <si>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</si>
  <si>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</si>
  <si>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</si>
  <si>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</si>
  <si>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</si>
  <si>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</si>
  <si>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</si>
  <si>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</si>
  <si>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</si>
  <si>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</si>
  <si>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</si>
  <si>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</si>
  <si>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</si>
  <si>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</si>
  <si>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</si>
  <si>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</si>
  <si>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</si>
  <si>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</si>
  <si>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</si>
  <si>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</si>
  <si>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</si>
  <si>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</si>
  <si>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</si>
  <si>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</si>
  <si>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</si>
  <si>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</si>
  <si>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</si>
  <si>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</si>
  <si>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</si>
  <si>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</si>
  <si>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</si>
  <si>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</si>
  <si>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</si>
  <si>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</si>
  <si>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</si>
  <si>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</si>
  <si>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</si>
  <si>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</si>
  <si>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</si>
  <si>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</si>
  <si>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</si>
  <si>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</si>
  <si>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</si>
  <si>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</si>
  <si>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</si>
  <si>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</si>
  <si>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</si>
  <si>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</si>
  <si>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</si>
  <si>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</si>
  <si>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</si>
  <si>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</si>
  <si>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</si>
  <si>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</si>
  <si>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</si>
  <si>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</si>
  <si>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</si>
  <si>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</si>
  <si>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</si>
  <si>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</si>
  <si>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</si>
  <si>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</si>
  <si>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</si>
  <si>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</si>
  <si>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</si>
  <si>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</si>
  <si>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</si>
  <si>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</si>
  <si>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</si>
  <si>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</si>
  <si>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</si>
  <si>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</si>
  <si>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</si>
  <si>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</si>
  <si>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</si>
  <si>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</si>
  <si>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</si>
  <si>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</si>
  <si>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</si>
  <si>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</si>
  <si>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</si>
  <si>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</si>
  <si>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</si>
  <si>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</si>
  <si>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</si>
  <si>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</si>
  <si>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</si>
  <si>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</si>
  <si>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</si>
  <si>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</si>
  <si>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</si>
  <si>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</si>
  <si>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</si>
  <si>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</si>
  <si>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</si>
  <si>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</si>
  <si>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</si>
  <si>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</si>
  <si>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</si>
  <si>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</si>
  <si>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</si>
  <si>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</si>
  <si>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</si>
  <si>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</si>
  <si>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</si>
  <si>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</si>
  <si>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</si>
  <si>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</si>
  <si>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</si>
  <si>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</si>
  <si>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</si>
  <si>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</si>
  <si>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</si>
  <si>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</si>
  <si>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</si>
  <si>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</si>
  <si>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</si>
  <si>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</si>
  <si>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</si>
  <si>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</si>
  <si>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</si>
  <si>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</si>
  <si>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</si>
  <si>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</si>
  <si>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</si>
  <si>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</si>
  <si>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</si>
  <si>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</si>
  <si>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</si>
  <si>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</si>
  <si>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</si>
  <si>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</si>
  <si>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</si>
  <si>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</si>
  <si>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</si>
  <si>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</si>
  <si>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</si>
  <si>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</si>
  <si>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</si>
  <si>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</si>
  <si>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</si>
  <si>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</si>
  <si>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</si>
  <si>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</si>
  <si>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</si>
  <si>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</si>
  <si>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</si>
  <si>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</si>
  <si>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</si>
  <si>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</si>
  <si>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</si>
  <si>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</si>
  <si>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</si>
  <si>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</si>
  <si>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</si>
  <si>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</si>
  <si>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</si>
  <si>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</si>
  <si>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</si>
  <si>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</si>
  <si>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</si>
  <si>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</si>
  <si>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</si>
  <si>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</si>
  <si>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</si>
  <si>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</si>
  <si>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</si>
  <si>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</si>
  <si>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</si>
  <si>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</si>
  <si>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</si>
  <si>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</si>
  <si>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</si>
  <si>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</si>
  <si>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</si>
  <si>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</si>
  <si>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</si>
  <si>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</si>
  <si>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</si>
  <si>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</si>
  <si>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</si>
  <si>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</si>
  <si>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</si>
  <si>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</si>
  <si>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</si>
  <si>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</si>
  <si>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</si>
  <si>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</si>
  <si>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</si>
  <si>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</si>
  <si>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</si>
  <si>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</si>
  <si>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</si>
  <si>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</si>
  <si>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</si>
  <si>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</si>
  <si>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</si>
  <si>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</si>
  <si>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</si>
  <si>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</si>
  <si>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</si>
  <si>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</si>
  <si>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</si>
  <si>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</si>
  <si>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</si>
  <si>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</si>
  <si>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</si>
  <si>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</si>
  <si>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</si>
  <si>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</si>
  <si>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</si>
  <si>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</si>
  <si>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</si>
  <si>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</si>
  <si>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</si>
  <si>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</si>
  <si>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</si>
  <si>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</si>
  <si>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</si>
  <si>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</si>
  <si>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</si>
  <si>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</si>
  <si>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</si>
  <si>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</si>
  <si>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</si>
  <si>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</si>
  <si>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</si>
  <si>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</si>
  <si>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</si>
  <si>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</si>
  <si>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</si>
  <si>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</si>
  <si>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</si>
  <si>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</si>
  <si>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</si>
  <si>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</si>
  <si>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</si>
  <si>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</si>
  <si>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</si>
  <si>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</si>
  <si>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</si>
  <si>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</si>
  <si>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</si>
  <si>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</si>
  <si>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</si>
  <si>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</si>
  <si>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</si>
  <si>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</si>
  <si>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</si>
  <si>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</si>
  <si>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</si>
  <si>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</si>
  <si>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</si>
  <si>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</si>
  <si>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</si>
  <si>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</si>
  <si>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</si>
  <si>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</si>
  <si>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</si>
  <si>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</si>
  <si>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</si>
  <si>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</si>
  <si>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</si>
  <si>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</si>
  <si>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</si>
  <si>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</si>
  <si>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</si>
  <si>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</si>
  <si>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</si>
  <si>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</si>
  <si>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</si>
  <si>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</si>
  <si>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</si>
  <si>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</si>
  <si>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</si>
  <si>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</si>
  <si>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</si>
  <si>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</si>
  <si>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</si>
  <si>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</si>
  <si>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</si>
  <si>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</si>
  <si>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</si>
  <si>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</si>
  <si>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</si>
  <si>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</si>
  <si>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</si>
  <si>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</si>
  <si>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</si>
  <si>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</si>
  <si>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</si>
  <si>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</si>
  <si>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</si>
  <si>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</si>
  <si>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</si>
  <si>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</si>
  <si>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</si>
  <si>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</si>
  <si>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</si>
  <si>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</si>
  <si>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</si>
  <si>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</si>
  <si>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</si>
  <si>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</si>
  <si>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</si>
  <si>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</si>
  <si>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</si>
  <si>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</si>
  <si>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</si>
  <si>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</si>
  <si>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</si>
  <si>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</si>
  <si>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</si>
  <si>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</si>
  <si>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</si>
  <si>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</si>
  <si>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</si>
  <si>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</si>
  <si>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</si>
  <si>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</si>
  <si>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</si>
  <si>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</si>
  <si>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</si>
  <si>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</si>
  <si>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</si>
  <si>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</si>
  <si>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</si>
  <si>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</si>
  <si>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</si>
  <si>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</si>
  <si>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</si>
  <si>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</si>
  <si>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</si>
  <si>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</si>
  <si>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</si>
  <si>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</si>
  <si>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</si>
  <si>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</si>
  <si>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</si>
  <si>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</si>
  <si>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</si>
  <si>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</si>
  <si>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</si>
  <si>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</si>
  <si>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</si>
  <si>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</si>
  <si>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</si>
  <si>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</si>
  <si>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</si>
  <si>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</si>
  <si>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</si>
  <si>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</si>
  <si>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</si>
  <si>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</si>
  <si>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</si>
  <si>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</si>
  <si>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</si>
  <si>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</si>
  <si>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</si>
  <si>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</si>
  <si>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</si>
  <si>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</si>
  <si>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</si>
  <si>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</si>
  <si>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</si>
  <si>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</si>
  <si>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</si>
  <si>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</si>
  <si>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</si>
  <si>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</si>
  <si>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</si>
  <si>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</si>
  <si>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</si>
  <si>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</si>
  <si>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</si>
  <si>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</si>
  <si>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</si>
  <si>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</si>
  <si>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</si>
  <si>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</si>
  <si>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</si>
  <si>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</si>
  <si>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</si>
  <si>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</si>
  <si>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</si>
  <si>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</si>
  <si>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</si>
  <si>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</si>
  <si>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</si>
  <si>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</si>
  <si>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</si>
  <si>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</si>
  <si>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</si>
  <si>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</si>
  <si>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</si>
  <si>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</si>
  <si>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</si>
  <si>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</si>
  <si>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</si>
  <si>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</si>
  <si>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</si>
  <si>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</si>
  <si>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</si>
  <si>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</si>
  <si>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</si>
  <si>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</si>
  <si>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</si>
  <si>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</si>
  <si>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</si>
  <si>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</si>
  <si>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</si>
  <si>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</si>
  <si>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</si>
  <si>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</si>
  <si>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</si>
  <si>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</si>
  <si>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</si>
  <si>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</si>
  <si>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</si>
  <si>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</si>
  <si>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</si>
  <si>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</si>
  <si>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</si>
  <si>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</si>
  <si>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</si>
  <si>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</si>
  <si>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</si>
  <si>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</si>
  <si>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</si>
  <si>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</si>
  <si>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</si>
  <si>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</si>
  <si>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</si>
  <si>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</si>
  <si>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</si>
  <si>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</si>
  <si>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</si>
  <si>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</si>
  <si>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</si>
  <si>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</si>
  <si>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</si>
  <si>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</si>
  <si>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</si>
  <si>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</si>
  <si>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</si>
  <si>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</si>
  <si>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</si>
  <si>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</si>
  <si>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</si>
  <si>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</si>
  <si>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</si>
  <si>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</si>
  <si>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</si>
  <si>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</si>
  <si>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</si>
  <si>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</si>
  <si>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</si>
  <si>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</si>
  <si>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</si>
  <si>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</si>
  <si>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</si>
  <si>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</si>
  <si>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</si>
  <si>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</si>
  <si>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</si>
  <si>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</si>
  <si>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</si>
  <si>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</si>
  <si>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</si>
  <si>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</si>
  <si>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</si>
  <si>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</si>
  <si>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</si>
  <si>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</si>
  <si>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</si>
  <si>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</si>
  <si>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</si>
  <si>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</si>
  <si>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</si>
  <si>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</si>
  <si>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</si>
  <si>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</si>
  <si>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</si>
  <si>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</si>
  <si>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</si>
  <si>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</si>
  <si>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</si>
  <si>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</si>
  <si>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</si>
  <si>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</si>
  <si>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</si>
  <si>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</si>
  <si>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</si>
  <si>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</si>
  <si>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</si>
  <si>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</si>
  <si>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</si>
  <si>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</si>
  <si>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</si>
  <si>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</si>
  <si>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</si>
  <si>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</si>
  <si>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</si>
  <si>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</si>
  <si>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</si>
  <si>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</si>
  <si>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</si>
  <si>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</si>
  <si>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</si>
  <si>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</si>
  <si>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</si>
  <si>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</si>
  <si>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</si>
  <si>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</si>
  <si>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</si>
  <si>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</si>
  <si>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</si>
  <si>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</si>
  <si>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</si>
  <si>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</si>
  <si>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</si>
  <si>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</si>
  <si>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</si>
  <si>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</si>
  <si>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</si>
  <si>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</si>
  <si>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</si>
  <si>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</si>
  <si>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</si>
  <si>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</si>
  <si>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</si>
  <si>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</si>
  <si>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</si>
  <si>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</si>
  <si>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</si>
  <si>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</si>
  <si>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</si>
  <si>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</si>
  <si>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</si>
  <si>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</si>
  <si>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</si>
  <si>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</si>
  <si>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</si>
  <si>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</si>
  <si>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</si>
  <si>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</si>
  <si>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</si>
  <si>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</si>
  <si>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</si>
  <si>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</si>
  <si>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</si>
  <si>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</si>
  <si>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</si>
  <si>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</si>
  <si>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</si>
  <si>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</si>
  <si>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</si>
  <si>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</si>
  <si>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</si>
  <si>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</si>
  <si>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</si>
  <si>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</si>
  <si>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</si>
  <si>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</si>
  <si>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</si>
  <si>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</si>
  <si>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</si>
  <si>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</si>
  <si>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</si>
  <si>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</si>
  <si>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</si>
  <si>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</si>
  <si>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</si>
  <si>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</si>
  <si>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</si>
  <si>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</si>
  <si>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</si>
  <si>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</si>
  <si>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</si>
  <si>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</si>
  <si>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</si>
  <si>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</si>
  <si>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</si>
  <si>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</si>
  <si>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</si>
  <si>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</si>
  <si>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</si>
  <si>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</si>
  <si>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</si>
  <si>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</si>
  <si>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</si>
  <si>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</si>
  <si>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</si>
  <si>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</si>
  <si>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</si>
  <si>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</si>
  <si>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</si>
  <si>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</si>
  <si>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</si>
  <si>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</si>
  <si>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</si>
  <si>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</si>
  <si>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</si>
  <si>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</si>
  <si>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</si>
  <si>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</si>
  <si>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</si>
  <si>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</si>
  <si>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</si>
  <si>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</si>
  <si>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</si>
  <si>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</si>
  <si>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</si>
  <si>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</si>
  <si>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</si>
  <si>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</si>
  <si>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</si>
  <si>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</si>
  <si>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</si>
  <si>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</si>
  <si>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</si>
  <si>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</si>
  <si>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</si>
  <si>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</si>
  <si>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</si>
  <si>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</si>
  <si>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</si>
  <si>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</si>
  <si>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</si>
  <si>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</si>
  <si>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</si>
  <si>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</si>
  <si>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</si>
  <si>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</si>
  <si>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</si>
  <si>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</si>
  <si>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</si>
  <si>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</si>
  <si>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</si>
  <si>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</si>
  <si>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</si>
  <si>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</si>
  <si>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</si>
  <si>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</si>
  <si>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</si>
  <si>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</si>
  <si>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</si>
  <si>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</si>
  <si>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</si>
  <si>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</si>
  <si>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</si>
  <si>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</si>
  <si>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</si>
  <si>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</si>
  <si>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</si>
  <si>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</si>
  <si>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</si>
  <si>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</si>
  <si>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</si>
  <si>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</si>
  <si>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</si>
  <si>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</si>
  <si>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</si>
  <si>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</si>
  <si>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</si>
  <si>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</si>
  <si>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</si>
  <si>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</si>
  <si>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</si>
  <si>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</si>
  <si>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</si>
  <si>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</si>
  <si>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</si>
  <si>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</si>
  <si>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</si>
  <si>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</si>
  <si>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</si>
  <si>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</si>
  <si>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</si>
  <si>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</si>
  <si>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</si>
  <si>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</si>
  <si>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</si>
  <si>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</si>
  <si>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</si>
  <si>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</si>
  <si>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</si>
  <si>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</si>
  <si>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</si>
  <si>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</si>
  <si>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</si>
  <si>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</si>
  <si>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</si>
  <si>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</si>
  <si>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</si>
  <si>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</si>
  <si>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</si>
  <si>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</si>
  <si>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</si>
  <si>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</si>
  <si>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</si>
  <si>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</si>
  <si>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</si>
  <si>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</si>
  <si>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F</t>
  </si>
  <si>
    <t>M</t>
  </si>
  <si>
    <t>Average rating</t>
  </si>
  <si>
    <t xml:space="preserve">Branch </t>
  </si>
  <si>
    <t>Branches</t>
  </si>
  <si>
    <t>Revenue</t>
  </si>
  <si>
    <t>All</t>
  </si>
  <si>
    <t>Payement Method</t>
  </si>
  <si>
    <t>Customer</t>
  </si>
  <si>
    <t>Revenue Condition</t>
  </si>
  <si>
    <t>All branch revenue</t>
  </si>
  <si>
    <t>Customer Count</t>
  </si>
  <si>
    <t>Total Quantity sold</t>
  </si>
  <si>
    <t>Branch quantiy filter</t>
  </si>
  <si>
    <t>Branch Revenue filter</t>
  </si>
  <si>
    <t xml:space="preserve">Total Customer </t>
  </si>
  <si>
    <t>Total customer filters</t>
  </si>
  <si>
    <t>Revenue filter</t>
  </si>
  <si>
    <t>Average rating Filter</t>
  </si>
  <si>
    <t>All branch Average ratings</t>
  </si>
  <si>
    <t>Gross Profit Fiter</t>
  </si>
  <si>
    <t>Gross Proifit</t>
  </si>
  <si>
    <t>Gross income</t>
  </si>
  <si>
    <t>Gross incme all branch</t>
  </si>
  <si>
    <t>Gross income Filters</t>
  </si>
  <si>
    <t>For BranchA</t>
  </si>
  <si>
    <t>For Branch B</t>
  </si>
  <si>
    <t>For Branch C</t>
  </si>
  <si>
    <t>For all</t>
  </si>
  <si>
    <t>Purchased most</t>
  </si>
  <si>
    <t>Purchased Least</t>
  </si>
  <si>
    <t>Total quantity</t>
  </si>
  <si>
    <t>GrossProfit</t>
  </si>
  <si>
    <t xml:space="preserve">Most Used </t>
  </si>
  <si>
    <t>For BranchB</t>
  </si>
  <si>
    <t>Most Used</t>
  </si>
  <si>
    <t>Most used</t>
  </si>
  <si>
    <t xml:space="preserve">B </t>
  </si>
  <si>
    <t>Total Transactions</t>
  </si>
  <si>
    <t>SuperMarket Financial Dashboard</t>
  </si>
  <si>
    <t>Payment Method</t>
  </si>
  <si>
    <t>Total Revenue</t>
  </si>
  <si>
    <t>Total Customers:</t>
  </si>
  <si>
    <t>Most used Payment Method:</t>
  </si>
  <si>
    <t>Gross Profit</t>
  </si>
  <si>
    <t>Most Purchased Category</t>
  </si>
  <si>
    <t>Least Purchased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</si>
</sst>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1F1F1F"/>
      <name val="Arial"/>
      <family val="2"/>
    </font>
    <font>
      <sz val="10"/>
      <color theme="1"/>
      <name val="Arial Unicode MS"/>
    </font>
    <font>
      <b/>
      <sz val="18"/>
      <color theme="1"/>
      <name val="Arial Rounded MT Bold"/>
      <family val="2"/>
    </font>
    <font>
      <sz val="16"/>
      <color theme="1"/>
      <name val="Arial Black"/>
      <family val="2"/>
    </font>
    <font>
      <b/>
      <sz val="18"/>
      <color theme="1"/>
      <name val="Calibri"/>
      <family val="2"/>
      <scheme val="minor"/>
    </font>
    <font>
      <b/>
      <sz val="28"/>
      <color theme="1"/>
      <name val="Arial Rounded MT Bold"/>
      <family val="2"/>
    </font>
    <font>
      <sz val="22"/>
      <color theme="1"/>
      <name val="Calibri"/>
      <family val="2"/>
      <scheme val="minor"/>
    </font>
    <font>
      <sz val="18"/>
      <color theme="1" tint="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22" fontId="0" fillId="0" borderId="0" xfId="0" applyNumberFormat="1"/>
    <xf numFmtId="44" fontId="0" fillId="0" borderId="0" xfId="1" applyFont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49" fontId="0" fillId="0" borderId="0" xfId="0" applyNumberFormat="1"/>
    <xf numFmtId="0" fontId="3" fillId="0" borderId="0" xfId="0" applyFont="1"/>
    <xf numFmtId="2" fontId="0" fillId="0" borderId="0" xfId="1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0" xfId="0" applyFont="1"/>
    <xf numFmtId="0" fontId="7" fillId="0" borderId="1" xfId="0" applyFont="1" applyBorder="1" applyAlignment="1">
      <alignment horizontal="left"/>
    </xf>
    <xf numFmtId="0" fontId="0" fillId="0" borderId="1" xfId="0" applyBorder="1"/>
    <xf numFmtId="0" fontId="6" fillId="2" borderId="0" xfId="0" applyFont="1" applyFill="1" applyProtection="1">
      <protection locked="0"/>
    </xf>
    <xf numFmtId="0" fontId="0" fillId="0" borderId="0" xfId="0" applyAlignment="1">
      <alignment wrapText="1"/>
    </xf>
    <xf numFmtId="0" fontId="9" fillId="0" borderId="2" xfId="0" applyFont="1" applyBorder="1" applyAlignment="1"/>
    <xf numFmtId="0" fontId="8" fillId="0" borderId="3" xfId="0" applyFont="1" applyBorder="1" applyAlignment="1"/>
    <xf numFmtId="0" fontId="0" fillId="0" borderId="4" xfId="0" applyBorder="1"/>
    <xf numFmtId="0" fontId="9" fillId="0" borderId="9" xfId="0" applyFont="1" applyBorder="1"/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10" fillId="0" borderId="10" xfId="1" applyNumberFormat="1" applyFont="1" applyBorder="1" applyAlignment="1">
      <alignment horizontal="center" vertical="center"/>
    </xf>
    <xf numFmtId="164" fontId="10" fillId="0" borderId="11" xfId="1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 vertical="center"/>
    </xf>
    <xf numFmtId="164" fontId="11" fillId="0" borderId="0" xfId="1" applyNumberFormat="1" applyFont="1" applyBorder="1" applyAlignment="1">
      <alignment horizontal="center" vertical="center"/>
    </xf>
    <xf numFmtId="164" fontId="11" fillId="0" borderId="6" xfId="1" applyNumberFormat="1" applyFont="1" applyBorder="1" applyAlignment="1">
      <alignment horizontal="center" vertical="center"/>
    </xf>
    <xf numFmtId="164" fontId="11" fillId="0" borderId="7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8" xfId="1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2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30" formatCode="@"/>
    </dxf>
    <dxf>
      <numFmt numFmtId="27" formatCode="m/d/yyyy\ h:mm"/>
    </dxf>
    <dxf>
      <numFmt numFmtId="27" formatCode="m/d/yyyy\ h:mm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by branches:</a:t>
            </a:r>
          </a:p>
          <a:p>
            <a:pPr>
              <a:defRPr sz="1800" b="1">
                <a:solidFill>
                  <a:sysClr val="windowText" lastClr="000000"/>
                </a:solidFill>
              </a:defRPr>
            </a:pPr>
            <a:endParaRPr lang="en-US" sz="1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GraphData!$A$2:$A$4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GraphData!$C$2:$C$4</c:f>
              <c:numCache>
                <c:formatCode>General</c:formatCode>
                <c:ptCount val="3"/>
                <c:pt idx="0">
                  <c:v>20753.554499999998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F-47BF-B10B-B0B5DADFB9D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1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GraphData!$A$2:$A$4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GraphData!$D$2:$D$4</c:f>
              <c:numCache>
                <c:formatCode>General</c:formatCode>
                <c:ptCount val="3"/>
                <c:pt idx="0">
                  <c:v>#N/A</c:v>
                </c:pt>
                <c:pt idx="1">
                  <c:v>14182.234499999999</c:v>
                </c:pt>
                <c:pt idx="2">
                  <c:v>16855.167000000001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F-47BF-B10B-B0B5DADFB9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39194800"/>
        <c:axId val="1032182880"/>
      </c:barChart>
      <c:catAx>
        <c:axId val="103919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82880"/>
        <c:crosses val="autoZero"/>
        <c:auto val="1"/>
        <c:lblAlgn val="ctr"/>
        <c:lblOffset val="100"/>
        <c:noMultiLvlLbl val="0"/>
      </c:catAx>
      <c:valAx>
        <c:axId val="103218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948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Gross Profit: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GraphData!$A$8:$A$10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GraphData!$C$8:$C$10</c:f>
              <c:numCache>
                <c:formatCode>General</c:formatCode>
                <c:ptCount val="3"/>
                <c:pt idx="0">
                  <c:v>988.2645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D-4A3E-94E6-489F62D00C3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1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GraphData!$A$8:$A$10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GraphData!$D$8:$D$10</c:f>
              <c:numCache>
                <c:formatCode>General</c:formatCode>
                <c:ptCount val="3"/>
                <c:pt idx="0">
                  <c:v>#N/A</c:v>
                </c:pt>
                <c:pt idx="1">
                  <c:v>675.34450000000004</c:v>
                </c:pt>
                <c:pt idx="2">
                  <c:v>802.62699999999973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D-4A3E-94E6-489F62D00C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35016767"/>
        <c:axId val="1987113887"/>
      </c:barChart>
      <c:catAx>
        <c:axId val="183501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13887"/>
        <c:crosses val="autoZero"/>
        <c:auto val="1"/>
        <c:lblAlgn val="ctr"/>
        <c:lblOffset val="100"/>
        <c:noMultiLvlLbl val="0"/>
      </c:catAx>
      <c:valAx>
        <c:axId val="1987113887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1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Arial" panose="020B0604020202020204" pitchFamily="34" charset="0"/>
                <a:cs typeface="Arial" panose="020B0604020202020204" pitchFamily="34" charset="0"/>
              </a:rPr>
              <a:t>Most</a:t>
            </a:r>
            <a:r>
              <a:rPr lang="en-US" sz="1800" b="1" baseline="0">
                <a:latin typeface="Arial" panose="020B0604020202020204" pitchFamily="34" charset="0"/>
                <a:cs typeface="Arial" panose="020B0604020202020204" pitchFamily="34" charset="0"/>
              </a:rPr>
              <a:t> Used Payment Methods:</a:t>
            </a:r>
            <a:endParaRPr 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354680664916884"/>
          <c:y val="0.21740449110527851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GraphData!$I$7</c:f>
              <c:strCache>
                <c:ptCount val="1"/>
                <c:pt idx="0">
                  <c:v>Total 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48-4C34-B5E0-DD0754DBAB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48-4C34-B5E0-DD0754DBAB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48-4C34-B5E0-DD0754DBAB4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5C2B25-5ADE-435D-AF27-DAB1FCB5A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248-4C34-B5E0-DD0754DBAB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821466-EF87-4908-AB23-7A08831F6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248-4C34-B5E0-DD0754DBAB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5085A8-CEEE-4599-AF57-406264E24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248-4C34-B5E0-DD0754DBAB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GraphData!$H$8:$H$10</c:f>
              <c:strCache>
                <c:ptCount val="3"/>
                <c:pt idx="0">
                  <c:v>Ewallet</c:v>
                </c:pt>
                <c:pt idx="1">
                  <c:v>Credit card</c:v>
                </c:pt>
                <c:pt idx="2">
                  <c:v>Credit card</c:v>
                </c:pt>
              </c:strCache>
            </c:strRef>
          </c:cat>
          <c:val>
            <c:numRef>
              <c:f>GraphData!$I$8:$I$10</c:f>
              <c:numCache>
                <c:formatCode>General</c:formatCode>
                <c:ptCount val="3"/>
                <c:pt idx="0">
                  <c:v>62</c:v>
                </c:pt>
                <c:pt idx="1">
                  <c:v>63</c:v>
                </c:pt>
                <c:pt idx="2">
                  <c:v>60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GraphData!$G$8:$G$10</c15:f>
                <c15:dlblRangeCache>
                  <c:ptCount val="3"/>
                  <c:pt idx="0">
                    <c:v>A</c:v>
                  </c:pt>
                  <c:pt idx="1">
                    <c:v>B </c:v>
                  </c:pt>
                  <c:pt idx="2">
                    <c:v>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248-4C34-B5E0-DD0754DBAB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120952</xdr:colOff>
      <xdr:row>10</xdr:row>
      <xdr:rowOff>185263</xdr:rowOff>
    </xdr:from>
    <xdr:to>
      <xdr:col>5</xdr:col>
      <xdr:colOff>574523</xdr:colOff>
      <xdr:row>25</xdr:row>
      <xdr:rowOff>45357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B1B6C1-E6F3-4750-AACC-D5E0F1867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1797765</xdr:colOff>
      <xdr:row>10</xdr:row>
      <xdr:rowOff>151192</xdr:rowOff>
    </xdr:from>
    <xdr:to>
      <xdr:col>15</xdr:col>
      <xdr:colOff>589643</xdr:colOff>
      <xdr:row>25</xdr:row>
      <xdr:rowOff>60477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24AF7E-F757-42B4-A893-F0DBF1EBE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1181100</xdr:colOff>
      <xdr:row>28</xdr:row>
      <xdr:rowOff>161925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832CE-DA8C-4B7D-8190-3FE06FA73729}"/>
            </a:ext>
          </a:extLst>
        </xdr:cNvPr>
        <xdr:cNvSpPr txBox="1"/>
      </xdr:nvSpPr>
      <xdr:spPr>
        <a:xfrm>
          <a:off x="9991725" y="549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635001</xdr:colOff>
      <xdr:row>11</xdr:row>
      <xdr:rowOff>0</xdr:rowOff>
    </xdr:from>
    <xdr:to>
      <xdr:col>10</xdr:col>
      <xdr:colOff>1073453</xdr:colOff>
      <xdr:row>25</xdr:row>
      <xdr:rowOff>81188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015EF85-5217-466E-9A81-84D93C7D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102204</xdr:colOff>
      <xdr:row>65</xdr:row>
      <xdr:rowOff>132140</xdr:rowOff>
    </xdr:from>
    <xdr:to>
      <xdr:col>6</xdr:col>
      <xdr:colOff>332619</xdr:colOff>
      <xdr:row>72</xdr:row>
      <xdr:rowOff>181428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6EAED0-E650-4BDE-A643-5B66311720D3}"/>
            </a:ext>
          </a:extLst>
        </xdr:cNvPr>
        <xdr:cNvSpPr txBox="1"/>
      </xdr:nvSpPr>
      <xdr:spPr>
        <a:xfrm flipV="1">
          <a:off x="4804228" y="14253330"/>
          <a:ext cx="230415" cy="14251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76426E-BA64-421C-B0CE-7FF7037B06D4}" name="BranchA_Yangon_City" displayName="BranchA_Yangon_City" ref="A1:N341" totalsRowShown="0">
  <autoFilter ref="A1:N341" xr:uid="{5018077E-20A3-45FA-87E0-CB361EBD81C5}"/>
  <tableColumns count="14">
    <tableColumn id="1" xr3:uid="{24F653A7-EDA5-415B-8036-178BCDC86943}" name="Invoice ID"/>
    <tableColumn id="4" xr3:uid="{048646B1-E47B-4F08-B7B7-0BBA79A60445}" name="Customer type" dataDxfId="11"/>
    <tableColumn id="5" xr3:uid="{787F0CF3-1846-4DBD-8FB2-E7A0ADC57778}" name="Gender" dataDxfId="10"/>
    <tableColumn id="6" xr3:uid="{44026650-0ACB-42D5-A37C-AE188B050B5B}" name="Product line"/>
    <tableColumn id="7" xr3:uid="{79F60AA1-ED4B-46AD-B840-D2245995521A}" name="Unit price"/>
    <tableColumn id="8" xr3:uid="{72CFEED9-31EE-4B9B-9D8D-3511369D736D}" name="Quantity"/>
    <tableColumn id="9" xr3:uid="{6721F179-E4EF-4D4B-8752-75AC04E716FB}" name="Tax 5%"/>
    <tableColumn id="10" xr3:uid="{B7404C7E-67C3-428F-8EF1-FA7F43BD5074}" name="Total" dataDxfId="9"/>
    <tableColumn id="11" xr3:uid="{F1D7FD4A-31D2-4244-B8BB-3D7EFD2D4AC7}" name="Date" dataDxfId="8"/>
    <tableColumn id="12" xr3:uid="{F8C5647D-DFDB-47D1-9FC4-480D4BCDF9C4}" name="Time" dataDxfId="7"/>
    <tableColumn id="13" xr3:uid="{1B64D1D0-E703-4C98-A4CC-B7CEF0E34B54}" name="Payment" dataDxfId="6"/>
    <tableColumn id="14" xr3:uid="{E576009E-AF05-4BC5-8162-0E16E4EA9EF2}" name="cogs"/>
    <tableColumn id="15" xr3:uid="{DECFE956-38AA-4265-9F35-1D22D66C9568}" name="gross income"/>
    <tableColumn id="16" xr3:uid="{02B6FD7A-7FFC-465F-A4C1-D63C79F33B30}" name="Rating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BDCEB-9134-4C20-8DFB-C688142AADDA}" name="Branch_B__Mandaly_City" displayName="Branch_B__Mandaly_City" ref="A1:N333" totalsRowShown="0">
  <autoFilter ref="A1:N333" xr:uid="{2F994F89-836C-4665-95F7-389FDDD10860}"/>
  <tableColumns count="14">
    <tableColumn id="1" xr3:uid="{D2DC455D-DA6E-4E3C-AA68-5F7616E396BB}" name="Invoice ID"/>
    <tableColumn id="3" xr3:uid="{F9DC81FC-02CB-4C34-8083-CFBB9454DB6A}" name="Customer type"/>
    <tableColumn id="4" xr3:uid="{8ED2086C-6B2B-4606-98CB-34897E546F04}" name="Gender"/>
    <tableColumn id="5" xr3:uid="{5EFCF8B3-7EC5-4881-829B-3F54E81212F6}" name="Product line"/>
    <tableColumn id="6" xr3:uid="{F74B8E38-8C31-4E87-BEB0-7F5293BE5642}" name="Unit price"/>
    <tableColumn id="7" xr3:uid="{A0ED494C-0589-4C23-AB16-909E2C9EAD5B}" name="Quantity"/>
    <tableColumn id="8" xr3:uid="{9A8A3198-43D9-46A6-8DE9-BC795462E5E5}" name="Tax 5%"/>
    <tableColumn id="9" xr3:uid="{15C9E4D3-A337-4A34-8B10-E0C996351B36}" name="Total"/>
    <tableColumn id="10" xr3:uid="{A75442A4-B7FA-4E96-B9FD-56ECB60539E2}" name="Date" dataDxfId="5"/>
    <tableColumn id="11" xr3:uid="{CD0F74A2-68F0-4F37-9BE4-BDEEB6CA9BB7}" name="Time" dataDxfId="4"/>
    <tableColumn id="12" xr3:uid="{D475F555-0241-412D-82C0-89216F417608}" name="Payment"/>
    <tableColumn id="13" xr3:uid="{53763182-5FBB-49F1-B246-DE27BF7596C1}" name="cogs"/>
    <tableColumn id="14" xr3:uid="{BC38C970-6179-46B3-AF4E-945ABEA7422B}" name="gross income"/>
    <tableColumn id="15" xr3:uid="{E7C63C25-57BE-4893-B3AB-DCAEA8047468}" name="Rating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980E00-018C-4126-9ED1-FAD71F95D525}" name="Branch_C_Naypyitaw_City" displayName="Branch_C_Naypyitaw_City" ref="A1:N329" totalsRowShown="0">
  <autoFilter ref="A1:N329" xr:uid="{D0FA40A4-58B7-402C-AB29-D6F61CA7F6C0}"/>
  <tableColumns count="14">
    <tableColumn id="1" xr3:uid="{CB96C072-7C98-49AF-A856-76A552BD14F6}" name="Invoice ID"/>
    <tableColumn id="3" xr3:uid="{03F0FBAA-0433-4B19-8574-4639F0C4B0A5}" name="Customer type"/>
    <tableColumn id="4" xr3:uid="{0AB4D741-83DF-4B26-BE19-6D87E91D2BA0}" name="Gender"/>
    <tableColumn id="5" xr3:uid="{068E7D4D-80FB-4BF1-8336-F35BE3749746}" name="Product line"/>
    <tableColumn id="6" xr3:uid="{90A9D0E2-541D-47E0-ADCC-44EE0BE1E2BE}" name="Unit price"/>
    <tableColumn id="7" xr3:uid="{4BCB63E0-5317-49E8-81CB-12529C4A8E99}" name="Quantity"/>
    <tableColumn id="8" xr3:uid="{768F803E-29F8-4A83-B889-A7EC74827DF9}" name="Tax 5%"/>
    <tableColumn id="9" xr3:uid="{FD410035-0122-443D-9BB6-5ECCCE7DA49B}" name="Total"/>
    <tableColumn id="10" xr3:uid="{CA023EC8-9154-4F61-98F5-EB86AD7FF0DD}" name="Date" dataDxfId="3"/>
    <tableColumn id="11" xr3:uid="{74D6D29A-BFAC-44A9-B4BD-4BE7EDCC9B09}" name="Time" dataDxfId="2"/>
    <tableColumn id="12" xr3:uid="{CEDEF76C-16A8-416E-BEBA-CA40B7AB94D6}" name="Payment"/>
    <tableColumn id="13" xr3:uid="{DB6B9028-4DC1-4CD0-A903-493DF166787B}" name="cogs"/>
    <tableColumn id="14" xr3:uid="{2EB5ADF2-8048-4A20-A8C3-F3043340F412}" name="gross income"/>
    <tableColumn id="15" xr3:uid="{2502DB9C-E0A7-497A-9220-F5DB8C8BE78B}" name="Rating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2291F-D7E9-4D21-A819-8424782FFD2E}" name="supermarket_sales" displayName="supermarket_sales" ref="A1:Q1001" totalsRowShown="0">
  <autoFilter ref="A1:Q1001" xr:uid="{1E0221E6-668A-4F4F-BDA6-718CDAFCDB05}"/>
  <tableColumns count="17">
    <tableColumn id="1" xr3:uid="{3B03E462-0B9B-4F44-928B-C6A3B74471BB}" name="Invoice ID"/>
    <tableColumn id="2" xr3:uid="{D0C74AE2-370B-457A-955B-725A8AAD203F}" name="Branch"/>
    <tableColumn id="3" xr3:uid="{78B152BC-C072-46DC-B341-815A962A81DC}" name="City"/>
    <tableColumn id="4" xr3:uid="{7DAD3582-AD90-49D4-A724-2ACDC29EB0CD}" name="Customer type"/>
    <tableColumn id="5" xr3:uid="{B0D2D8DB-5B8A-4264-9D8D-151B13D84B73}" name="Gender"/>
    <tableColumn id="6" xr3:uid="{FBDE8E99-A05C-4613-B088-60CE57A02828}" name="Product line"/>
    <tableColumn id="7" xr3:uid="{660F9482-D16D-4CDE-89B4-A3C20993BECD}" name="Unit price"/>
    <tableColumn id="8" xr3:uid="{655D899C-A3BA-4067-A0B9-A9235B632806}" name="Quantity"/>
    <tableColumn id="9" xr3:uid="{1E77DADC-CB22-43F9-8AE1-DACCA4FB6B45}" name="Tax 5%"/>
    <tableColumn id="10" xr3:uid="{EBFDE053-330E-440F-AF76-6099240D526D}" name="Total"/>
    <tableColumn id="11" xr3:uid="{F3778B81-11CA-4296-B8E9-9FD5DDA9B417}" name="Date" dataDxfId="1"/>
    <tableColumn id="12" xr3:uid="{762B637A-3A08-42D0-A666-0C0D7EEE3257}" name="Time" dataDxfId="0"/>
    <tableColumn id="13" xr3:uid="{B160DD91-8ABD-4569-AF4B-2AB298BA9022}" name="Payment"/>
    <tableColumn id="14" xr3:uid="{DE5FAB46-3E74-420F-B576-1506877FB9B4}" name="cogs"/>
    <tableColumn id="15" xr3:uid="{7E9C40BA-B06C-4E2C-9120-EB8C80122500}" name="gross margin percentage"/>
    <tableColumn id="16" xr3:uid="{16C0B356-478D-4483-AF7D-5DC1B8C6C9E1}" name="gross income"/>
    <tableColumn id="17" xr3:uid="{7E32E1D8-C922-4684-8F15-F7DECDB304B5}" name="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ECB-C3FA-4D2E-A0CF-126B30DDA33A}">
  <sheetPr codeName="Sheet1"/>
  <dimension ref="A1:R18"/>
  <sheetViews>
    <sheetView topLeftCell="E1" workbookViewId="0">
      <selection activeCell="R16" sqref="R16"/>
    </sheetView>
  </sheetViews>
  <sheetFormatPr defaultRowHeight="15"/>
  <cols>
    <col min="8" max="8" width="17.85546875" customWidth="1"/>
    <col min="12" max="12" width="10.5703125" bestFit="1" customWidth="1"/>
  </cols>
  <sheetData>
    <row r="1" spans="1:18">
      <c r="A1" t="s">
        <v>1039</v>
      </c>
      <c r="B1" t="s">
        <v>4</v>
      </c>
      <c r="C1" t="s">
        <v>9</v>
      </c>
    </row>
    <row r="2" spans="1:18">
      <c r="A2" t="s">
        <v>18</v>
      </c>
      <c r="B2" t="s">
        <v>1037</v>
      </c>
    </row>
    <row r="3" spans="1:18">
      <c r="A3" t="s">
        <v>42</v>
      </c>
      <c r="B3" t="s">
        <v>1036</v>
      </c>
    </row>
    <row r="4" spans="1:18">
      <c r="A4" t="s">
        <v>25</v>
      </c>
      <c r="B4" t="s">
        <v>1042</v>
      </c>
    </row>
    <row r="5" spans="1:18">
      <c r="A5" t="s">
        <v>1042</v>
      </c>
      <c r="H5" t="s">
        <v>1050</v>
      </c>
      <c r="J5" t="s">
        <v>1051</v>
      </c>
    </row>
    <row r="6" spans="1:18">
      <c r="H6" s="3">
        <f>_xlfn.IFS(InputBranch="A",BranchARevenue,InputBranch="B",BranchBRevenue,InputBranch="C",BranchCRevenue,InputBranch="All",AllBranchRevenue)</f>
        <v>20753.554499999998</v>
      </c>
      <c r="J6">
        <f>CustomerCountA+CustomerCountB+CustomerCountC</f>
        <v>161</v>
      </c>
    </row>
    <row r="7" spans="1:18">
      <c r="Q7" t="s">
        <v>1067</v>
      </c>
    </row>
    <row r="8" spans="1:18">
      <c r="A8" t="s">
        <v>1043</v>
      </c>
      <c r="E8" t="s">
        <v>1044</v>
      </c>
      <c r="Q8">
        <f>BranchAQuantity+BranchBQuantity+BranchCQuantity</f>
        <v>898</v>
      </c>
    </row>
    <row r="9" spans="1:18">
      <c r="A9" t="s">
        <v>33</v>
      </c>
      <c r="E9" t="s">
        <v>27</v>
      </c>
      <c r="I9" t="s">
        <v>1052</v>
      </c>
      <c r="M9" t="s">
        <v>1046</v>
      </c>
    </row>
    <row r="10" spans="1:18">
      <c r="A10" t="s">
        <v>29</v>
      </c>
      <c r="E10" t="s">
        <v>20</v>
      </c>
      <c r="I10">
        <f>_xlfn.IFS(InputBranch="A",CustomerCountA,InputBranch="B",CustomerCountB,InputBranch="C",CustomerCountC,InputBranch="All",TotalCustomers)</f>
        <v>62</v>
      </c>
      <c r="M10">
        <f>BranchARevenue+BranchBRevenue+BranchCRevenue</f>
        <v>51790.955999999998</v>
      </c>
    </row>
    <row r="11" spans="1:18">
      <c r="A11" t="s">
        <v>23</v>
      </c>
      <c r="E11" t="s">
        <v>1042</v>
      </c>
      <c r="Q11" t="s">
        <v>1049</v>
      </c>
    </row>
    <row r="12" spans="1:18">
      <c r="A12" t="s">
        <v>1042</v>
      </c>
      <c r="C12" t="s">
        <v>1055</v>
      </c>
      <c r="G12" t="s">
        <v>1054</v>
      </c>
      <c r="Q12">
        <f>_xlfn.IFS(InputBranch="All",AllbranchQuantiy,InputBranch="A",BranchAQuantity,InputBranch="B",BranchBQuantity,InputBranch="C",BranchCQuantity)</f>
        <v>374</v>
      </c>
    </row>
    <row r="13" spans="1:18">
      <c r="C13">
        <f xml:space="preserve"> AVERAGE(BranchAAverage,AverageBRating,AverageCRating)</f>
        <v>6.893505815229318</v>
      </c>
      <c r="G13" s="4">
        <f>_xlfn.IFS(InputBranch="All",AllAverage,InputBranch="A",BranchAAverage,InputBranch="B",AverageBRating,InputBranch="C",AverageCRating)</f>
        <v>7.1177419354838722</v>
      </c>
      <c r="I13" t="s">
        <v>1059</v>
      </c>
      <c r="L13" t="s">
        <v>1060</v>
      </c>
    </row>
    <row r="14" spans="1:18">
      <c r="I14">
        <f>SUM(GrossProfitBranchA+GrossProfitBranchB+GrossProfitBranchC)</f>
        <v>2466.2359999999999</v>
      </c>
      <c r="L14" s="3">
        <f>_xlfn.IFS(InputBranch="All",GrossProfitAllBranch,InputBranch="A",GrossProfitBranchA,InputBranch="B",GrossProfitBranchB,InputBranch="C",GrossProfitBranchC)</f>
        <v>988.2645</v>
      </c>
      <c r="O14" t="s">
        <v>1065</v>
      </c>
      <c r="R14" t="s">
        <v>1066</v>
      </c>
    </row>
    <row r="15" spans="1:18">
      <c r="O15" t="str">
        <f>_xlfn.IFS('Project Dashboard'!F10="All",MostPurchasedAllbranch,'Project Dashboard'!F10="A",MostPurchasedA,'Project Dashboard'!F10="B",MostPurchasedB,'Project Dashboard'!F10="C",MostPurchasedC)</f>
        <v>Home and lifestyle</v>
      </c>
      <c r="R15" t="str">
        <f>_xlfn.IFS(InputBranch="All",LeastPurchasedAllbranch,InputBranch="A",LeastPurchaseedA,InputBranch="B",LeasPurchasedB,InputBranch="C",LeastPurchasedC)</f>
        <v>Health and beauty</v>
      </c>
    </row>
    <row r="16" spans="1:18">
      <c r="O16">
        <f>_xlfn.IFS(InputBranch="All",MostPurchasedNumberAllB,InputBranch="A",MostpruchasedNumberBA,InputBranch="B",MostPurchasedBB,InputBranch="C",MostPurchasedBC)</f>
        <v>75</v>
      </c>
      <c r="R16">
        <f>_xlfn.IFS(InputBranch="All",LeastPurchasednumberALLB,InputBranch="A",LeastPurchasedBB,InputBranch="B",LeastPurchasedBB,InputBranch="C",LeastPurchasedBC)</f>
        <v>32</v>
      </c>
    </row>
    <row r="18" spans="7:7">
      <c r="G18" t="str">
        <f>_xlfn.IFS(InputBranch="All",MostPayementAllBranchFilter,InputBranch="A",MostPayementAFilter,InputBranch="B",MostPayementBFilter,InputBranch="C",MostPayementCfilter)</f>
        <v>Ewallet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7D26-DBF7-482D-9204-979681F64EAD}">
  <sheetPr codeName="Sheet2"/>
  <dimension ref="A1:S19"/>
  <sheetViews>
    <sheetView workbookViewId="0">
      <selection activeCell="R10" sqref="R10"/>
    </sheetView>
  </sheetViews>
  <sheetFormatPr defaultRowHeight="15"/>
  <cols>
    <col min="2" max="2" width="12" customWidth="1"/>
    <col min="7" max="7" width="11.28515625" customWidth="1"/>
    <col min="18" max="18" width="12.7109375" customWidth="1"/>
  </cols>
  <sheetData>
    <row r="1" spans="1:19">
      <c r="A1" t="s">
        <v>1061</v>
      </c>
      <c r="G1" t="s">
        <v>1062</v>
      </c>
      <c r="L1" t="s">
        <v>1063</v>
      </c>
      <c r="Q1" t="s">
        <v>1064</v>
      </c>
    </row>
    <row r="2" spans="1:19">
      <c r="A2" t="s">
        <v>28</v>
      </c>
      <c r="C2">
        <f>SUMIFS(
  BranchA!F:F,
  BranchA!$C:$C, IF(Inputgender="All","*",Inputgender),
  BranchA!$B:$B, IF(InputCustomertyp="All","*",InputCustomertyp),
  BranchA!$K:$K, IF(InputPayementMethod="All","*",InputPayementMethod),BranchA!D:D,A2
)</f>
        <v>66</v>
      </c>
      <c r="G2" t="s">
        <v>28</v>
      </c>
      <c r="I2">
        <f>SUMIFS(
  BranchB!$F:$F,
  BranchB!$C:$C, IF(Inputgender="All","*",Inputgender),
  BranchB!$B:$B, IF(InputCustomertyp="All","*",InputCustomertyp),
  BranchB!$K:$K, IF(InputPayementMethod="All","*",InputPayementMethod),BranchA!D:D,G2
)</f>
        <v>38</v>
      </c>
      <c r="L2" t="s">
        <v>28</v>
      </c>
      <c r="O2">
        <f>SUMIFS(
  BranchC!$F:$F,
  BranchC!$C:$C, IF(Inputgender="All","*",Inputgender),
  BranchC!$B:$B, IF(InputCustomertyp="All","*",InputCustomertyp),
  BranchC!$K:$K, IF(InputPayementMethod="All","*",InputPayementMethod),BranchC!D:D,L2
)</f>
        <v>46</v>
      </c>
      <c r="Q2" t="s">
        <v>28</v>
      </c>
      <c r="S2">
        <f>SUM(C2,I2,O2)</f>
        <v>150</v>
      </c>
    </row>
    <row r="3" spans="1:19">
      <c r="A3" t="s">
        <v>36</v>
      </c>
      <c r="C3">
        <f>SUMIFS(
  BranchA!F:F,
  BranchA!$C:$C, IF(Inputgender="All","*",Inputgender),
  BranchA!$B:$B, IF(InputCustomertyp="All","*",InputCustomertyp),
  BranchA!$K:$K, IF(InputPayementMethod="All","*",InputPayementMethod),BranchA!D:D,A3
)</f>
        <v>69</v>
      </c>
      <c r="G3" t="s">
        <v>36</v>
      </c>
      <c r="I3">
        <f>SUMIFS(
  BranchB!$F:$F,
  BranchB!$C:$C, IF(Inputgender="All","*",Inputgender),
  BranchB!$B:$B, IF(InputCustomertyp="All","*",InputCustomertyp),
  BranchB!$K:$K, IF(InputPayementMethod="All","*",InputPayementMethod),BranchA!D:D,G3
)</f>
        <v>42</v>
      </c>
      <c r="L3" t="s">
        <v>36</v>
      </c>
      <c r="O3">
        <f>SUMIFS(
  BranchC!$F:$F,
  BranchC!$C:$C, IF(Inputgender="All","*",Inputgender),
  BranchC!$B:$B, IF(InputCustomertyp="All","*",InputCustomertyp),
  BranchC!$K:$K, IF(InputPayementMethod="All","*",InputPayementMethod),BranchC!D:D,L3
)</f>
        <v>29</v>
      </c>
      <c r="Q3" t="s">
        <v>36</v>
      </c>
      <c r="S3">
        <f t="shared" ref="S3:S6" si="0">SUM(C3,I3,O3)</f>
        <v>140</v>
      </c>
    </row>
    <row r="4" spans="1:19">
      <c r="A4" t="s">
        <v>46</v>
      </c>
      <c r="C4">
        <f>SUMIFS(
  BranchA!F:F,
  BranchA!$C:$C, IF(Inputgender="All","*",Inputgender),
  BranchA!$B:$B, IF(InputCustomertyp="All","*",InputCustomertyp),
  BranchA!$K:$K, IF(InputPayementMethod="All","*",InputPayementMethod),BranchA!D:D,A4
)</f>
        <v>71</v>
      </c>
      <c r="G4" t="s">
        <v>46</v>
      </c>
      <c r="I4">
        <f>SUMIFS(
  BranchB!$F:$F,
  BranchB!$C:$C, IF(Inputgender="All","*",Inputgender),
  BranchB!$B:$B, IF(InputCustomertyp="All","*",InputCustomertyp),
  BranchB!$K:$K, IF(InputPayementMethod="All","*",InputPayementMethod),BranchA!D:D,G4
)</f>
        <v>69</v>
      </c>
      <c r="L4" t="s">
        <v>46</v>
      </c>
      <c r="O4">
        <f>SUMIFS(
  BranchC!$F:$F,
  BranchC!$C:$C, IF(Inputgender="All","*",Inputgender),
  BranchC!$B:$B, IF(InputCustomertyp="All","*",InputCustomertyp),
  BranchC!$K:$K, IF(InputPayementMethod="All","*",InputPayementMethod),BranchC!D:D,L4
)</f>
        <v>58</v>
      </c>
      <c r="Q4" t="s">
        <v>46</v>
      </c>
      <c r="S4">
        <f t="shared" si="0"/>
        <v>198</v>
      </c>
    </row>
    <row r="5" spans="1:19">
      <c r="A5" t="s">
        <v>32</v>
      </c>
      <c r="C5">
        <f>SUMIFS(
  BranchA!F:F,
  BranchA!$C:$C, IF(Inputgender="All","*",Inputgender),
  BranchA!$B:$B, IF(InputCustomertyp="All","*",InputCustomertyp),
  BranchA!$K:$K, IF(InputPayementMethod="All","*",InputPayementMethod),BranchA!D:D,A5
)</f>
        <v>75</v>
      </c>
      <c r="G5" t="s">
        <v>32</v>
      </c>
      <c r="I5">
        <f>SUMIFS(
  BranchB!$F:$F,
  BranchB!$C:$C, IF(Inputgender="All","*",Inputgender),
  BranchB!$B:$B, IF(InputCustomertyp="All","*",InputCustomertyp),
  BranchB!$K:$K, IF(InputPayementMethod="All","*",InputPayementMethod),BranchA!D:D,G5
)</f>
        <v>33</v>
      </c>
      <c r="L5" t="s">
        <v>32</v>
      </c>
      <c r="O5">
        <f>SUMIFS(
  BranchC!$F:$F,
  BranchC!$C:$C, IF(Inputgender="All","*",Inputgender),
  BranchC!$B:$B, IF(InputCustomertyp="All","*",InputCustomertyp),
  BranchC!$K:$K, IF(InputPayementMethod="All","*",InputPayementMethod),BranchC!D:D,L5
)</f>
        <v>42</v>
      </c>
      <c r="Q5" t="s">
        <v>32</v>
      </c>
      <c r="S5">
        <f t="shared" si="0"/>
        <v>150</v>
      </c>
    </row>
    <row r="6" spans="1:19">
      <c r="A6" t="s">
        <v>44</v>
      </c>
      <c r="C6">
        <f>SUMIFS(
  BranchA!F:F,
  BranchA!$C:$C, IF(Inputgender="All","*",Inputgender),
  BranchA!$B:$B, IF(InputCustomertyp="All","*",InputCustomertyp),
  BranchA!$K:$K, IF(InputPayementMethod="All","*",InputPayementMethod),BranchA!D:D,A6
)</f>
        <v>51</v>
      </c>
      <c r="G6" t="s">
        <v>44</v>
      </c>
      <c r="I6">
        <f>SUMIFS(
  BranchB!$F:$F,
  BranchB!$C:$C, IF(Inputgender="All","*",Inputgender),
  BranchB!$B:$B, IF(InputCustomertyp="All","*",InputCustomertyp),
  BranchB!$K:$K, IF(InputPayementMethod="All","*",InputPayementMethod),BranchA!D:D,G6
)</f>
        <v>55</v>
      </c>
      <c r="L6" t="s">
        <v>44</v>
      </c>
      <c r="O6">
        <f>SUMIFS(
  BranchC!$F:$F,
  BranchC!$C:$C, IF(Inputgender="All","*",Inputgender),
  BranchC!$B:$B, IF(InputCustomertyp="All","*",InputCustomertyp),
  BranchC!$K:$K, IF(InputPayementMethod="All","*",InputPayementMethod),BranchC!D:D,L6
)</f>
        <v>56</v>
      </c>
      <c r="Q6" t="s">
        <v>44</v>
      </c>
      <c r="S6">
        <f t="shared" si="0"/>
        <v>162</v>
      </c>
    </row>
    <row r="7" spans="1:19">
      <c r="A7" t="s">
        <v>22</v>
      </c>
      <c r="C7">
        <f>SUMIFS(
  BranchA!F:F,
  BranchA!$C:$C, IF(Inputgender="All","*",Inputgender),
  BranchA!$B:$B, IF(InputCustomertyp="All","*",InputCustomertyp),
  BranchA!$K:$K, IF(InputPayementMethod="All","*",InputPayementMethod),BranchA!D:D,A7
)</f>
        <v>42</v>
      </c>
      <c r="G7" t="s">
        <v>22</v>
      </c>
      <c r="I7">
        <f>SUMIFS(
  BranchB!$F:$F,
  BranchB!$C:$C, IF(Inputgender="All","*",Inputgender),
  BranchB!$B:$B, IF(InputCustomertyp="All","*",InputCustomertyp),
  BranchB!$K:$K, IF(InputPayementMethod="All","*",InputPayementMethod),BranchA!D:D,G7
)</f>
        <v>32</v>
      </c>
      <c r="L7" t="s">
        <v>22</v>
      </c>
      <c r="O7">
        <f>SUMIFS(
  BranchC!$F:$F,
  BranchC!$C:$C, IF(Inputgender="All","*",Inputgender),
  BranchC!$B:$B, IF(InputCustomertyp="All","*",InputCustomertyp),
  BranchC!$K:$K, IF(InputPayementMethod="All","*",InputPayementMethod),BranchC!D:D,L7
)</f>
        <v>24</v>
      </c>
      <c r="Q7" t="s">
        <v>22</v>
      </c>
      <c r="S7">
        <f>SUM(C7,I7,O7)</f>
        <v>98</v>
      </c>
    </row>
    <row r="9" spans="1:19">
      <c r="B9" t="str">
        <f>INDEX(A2:A7,MATCH(C9,C2:C7,0))</f>
        <v>Home and lifestyle</v>
      </c>
      <c r="C9">
        <f>MAX(C2:C7)</f>
        <v>75</v>
      </c>
      <c r="G9" t="str">
        <f>INDEX(G2:G7,MATCH(H9,I2:I7,0))</f>
        <v>Fashion accessories</v>
      </c>
      <c r="H9">
        <f>MAX(I2:I7)</f>
        <v>69</v>
      </c>
      <c r="L9" t="str">
        <f>INDEX(L2:L7,MATCH(M9,O2:O7,0))</f>
        <v>Fashion accessories</v>
      </c>
      <c r="M9">
        <f>MAX(O2:O7)</f>
        <v>58</v>
      </c>
      <c r="R9" t="str">
        <f>INDEX(Q2:Q7,MATCH(S9,S2:S7,0))</f>
        <v>Fashion accessories</v>
      </c>
      <c r="S9">
        <f>MAX(S2:S7)</f>
        <v>198</v>
      </c>
    </row>
    <row r="10" spans="1:19">
      <c r="B10" t="str">
        <f>INDEX(A2:A7,MATCH(C10,C2:C7,0))</f>
        <v>Health and beauty</v>
      </c>
      <c r="C10">
        <f>MIN(C2:C7)</f>
        <v>42</v>
      </c>
      <c r="G10" t="str">
        <f>INDEX(G2:G7,MATCH(H10,I2:I7,0))</f>
        <v>Health and beauty</v>
      </c>
      <c r="H10">
        <f>MIN(I2:I7)</f>
        <v>32</v>
      </c>
      <c r="L10" t="str">
        <f>INDEX(L2:L7,MATCH(M10,O2:O7,0))</f>
        <v>Health and beauty</v>
      </c>
      <c r="M10">
        <f>MIN(O2:O7)</f>
        <v>24</v>
      </c>
      <c r="R10" t="str">
        <f>INDEX(Q2:Q7,MATCH(S10,S2:S7,0))</f>
        <v>Health and beauty</v>
      </c>
      <c r="S10">
        <f>MIN(S2:S7)</f>
        <v>98</v>
      </c>
    </row>
    <row r="13" spans="1:19">
      <c r="A13" t="s">
        <v>1061</v>
      </c>
      <c r="G13" t="s">
        <v>1070</v>
      </c>
      <c r="L13" t="s">
        <v>1063</v>
      </c>
      <c r="P13" t="s">
        <v>1042</v>
      </c>
    </row>
    <row r="14" spans="1:19">
      <c r="A14" t="s">
        <v>23</v>
      </c>
      <c r="B14" s="17">
        <f>COUNTIFS(
  BranchA!$K:$K,ProductsnPayements!A14,
  BranchA!$C:$C, IF(Inputgender="All","*",Inputgender),BranchA!$B:$B,
IF(InputCustomertyp="All","*",InputCustomertyp))</f>
        <v>62</v>
      </c>
      <c r="G14" t="s">
        <v>23</v>
      </c>
      <c r="H14">
        <f>COUNTIFS(
  BranchB!$K:$K,ProductsnPayements!G14,
  BranchB!$C:$C, IF(Inputgender="All","*",Inputgender),BranchB!$B:$B,
IF(InputCustomertyp="All","*",InputCustomertyp))</f>
        <v>49</v>
      </c>
      <c r="L14" t="s">
        <v>23</v>
      </c>
      <c r="M14">
        <f>COUNTIFS(
  BranchC!$K:$K,ProductsnPayements!L14,
  BranchC!$C:$C, IF(Inputgender="All","*",Inputgender),BranchC!$B:$B,
IF(InputCustomertyp="All","*",InputCustomertyp))</f>
        <v>50</v>
      </c>
      <c r="P14" t="s">
        <v>23</v>
      </c>
      <c r="Q14">
        <f>B14+H14+M14</f>
        <v>161</v>
      </c>
    </row>
    <row r="15" spans="1:19">
      <c r="A15" t="s">
        <v>33</v>
      </c>
      <c r="B15" s="17">
        <f>COUNTIFS(
  BranchA!$K:$K,ProductsnPayements!A15,
  BranchA!$C:$C, IF(Inputgender="All","*",Inputgender),BranchA!$B:$B,
IF(InputCustomertyp="All","*",InputCustomertyp))</f>
        <v>49</v>
      </c>
      <c r="G15" t="s">
        <v>33</v>
      </c>
      <c r="H15">
        <f>COUNTIFS(
  BranchB!$K:$K,ProductsnPayements!G15,
  BranchB!$C:$C, IF(Inputgender="All","*",Inputgender),BranchB!$B:$B,
IF(InputCustomertyp="All","*",InputCustomertyp))</f>
        <v>63</v>
      </c>
      <c r="L15" t="s">
        <v>33</v>
      </c>
      <c r="M15">
        <f>COUNTIFS(
  BranchC!$K:$K,ProductsnPayements!L15,
  BranchC!$C:$C, IF(Inputgender="All","*",Inputgender),BranchC!$B:$B,
IF(InputCustomertyp="All","*",InputCustomertyp))</f>
        <v>60</v>
      </c>
      <c r="P15" t="s">
        <v>33</v>
      </c>
      <c r="Q15">
        <f t="shared" ref="Q15:Q16" si="1">B15+H15+M15</f>
        <v>172</v>
      </c>
    </row>
    <row r="16" spans="1:19">
      <c r="A16" t="s">
        <v>29</v>
      </c>
      <c r="B16" s="17">
        <f>COUNTIFS(
  BranchA!$K:$K,ProductsnPayements!A16,
  BranchA!$C:$C, IF(Inputgender="All","*",Inputgender),BranchA!$B:$B,
IF(InputCustomertyp="All","*",InputCustomertyp))</f>
        <v>56</v>
      </c>
      <c r="G16" t="s">
        <v>29</v>
      </c>
      <c r="H16">
        <f>COUNTIFS(
  BranchB!$K:$K,ProductsnPayements!G16,
  BranchB!$C:$C, IF(Inputgender="All","*",Inputgender),BranchB!$B:$B,
IF(InputCustomertyp="All","*",InputCustomertyp))</f>
        <v>53</v>
      </c>
      <c r="L16" t="s">
        <v>29</v>
      </c>
      <c r="M16">
        <f>COUNTIFS(
  BranchC!$K:$K,ProductsnPayements!L16,
  BranchC!$C:$C, IF(Inputgender="All","*",Inputgender),BranchC!$B:$B,
IF(InputCustomertyp="All","*",InputCustomertyp))</f>
        <v>59</v>
      </c>
      <c r="P16" t="s">
        <v>29</v>
      </c>
      <c r="Q16">
        <f t="shared" si="1"/>
        <v>168</v>
      </c>
    </row>
    <row r="18" spans="1:17">
      <c r="A18" t="s">
        <v>1069</v>
      </c>
      <c r="G18" t="s">
        <v>1071</v>
      </c>
      <c r="L18" t="s">
        <v>1071</v>
      </c>
      <c r="P18" t="s">
        <v>1072</v>
      </c>
    </row>
    <row r="19" spans="1:17">
      <c r="A19" t="str">
        <f>INDEX(A14:A16,MATCH(B19,B14:B16,0))</f>
        <v>Ewallet</v>
      </c>
      <c r="B19">
        <f>MAX(B14:B16)</f>
        <v>62</v>
      </c>
      <c r="G19" t="str">
        <f>INDEX(G14:G16,MATCH(H19,H14:H16,0))</f>
        <v>Credit card</v>
      </c>
      <c r="H19">
        <f>MAX(H14:H16)</f>
        <v>63</v>
      </c>
      <c r="L19" t="str">
        <f>INDEX(L14:L16,MATCH(M19,M14:M16,0))</f>
        <v>Credit card</v>
      </c>
      <c r="M19">
        <f>MAX(M14:M16)</f>
        <v>60</v>
      </c>
      <c r="P19" t="str">
        <f>INDEX(P14:P16,MATCH(Q19,Q14:Q16,0))</f>
        <v>Credit card</v>
      </c>
      <c r="Q19">
        <f>MAX(Q14:Q16)</f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D16E-D2FA-484F-A799-C7E3779AF0B0}">
  <sheetPr codeName="Sheet3"/>
  <dimension ref="A1:N341"/>
  <sheetViews>
    <sheetView workbookViewId="0">
      <selection activeCell="K9" sqref="K9"/>
    </sheetView>
  </sheetViews>
  <sheetFormatPr defaultRowHeight="15"/>
  <cols>
    <col min="1" max="1" width="12" bestFit="1" customWidth="1"/>
    <col min="2" max="2" width="16.42578125" bestFit="1" customWidth="1"/>
    <col min="3" max="3" width="10" bestFit="1" customWidth="1"/>
    <col min="4" max="4" width="20.42578125" style="8" bestFit="1" customWidth="1"/>
    <col min="5" max="5" width="12" style="8" bestFit="1" customWidth="1"/>
    <col min="6" max="6" width="11" bestFit="1" customWidth="1"/>
    <col min="7" max="7" width="9.28515625" bestFit="1" customWidth="1"/>
    <col min="8" max="8" width="7.7109375" bestFit="1" customWidth="1"/>
    <col min="9" max="9" width="13.85546875" bestFit="1" customWidth="1"/>
    <col min="10" max="10" width="13.85546875" style="5" bestFit="1" customWidth="1"/>
    <col min="11" max="11" width="11.140625" bestFit="1" customWidth="1"/>
    <col min="12" max="12" width="7.140625" bestFit="1" customWidth="1"/>
    <col min="13" max="13" width="14.85546875" style="8" bestFit="1" customWidth="1"/>
    <col min="14" max="14" width="8.85546875" bestFit="1" customWidth="1"/>
    <col min="15" max="15" width="14.85546875" bestFit="1" customWidth="1"/>
    <col min="16" max="16" width="8.85546875" bestFit="1" customWidth="1"/>
    <col min="17" max="17" width="9.85546875" bestFit="1" customWidth="1"/>
  </cols>
  <sheetData>
    <row r="1" spans="1:14">
      <c r="A1" t="s">
        <v>0</v>
      </c>
      <c r="B1" s="8" t="s">
        <v>3</v>
      </c>
      <c r="C1" s="8" t="s">
        <v>4</v>
      </c>
      <c r="D1" t="s">
        <v>5</v>
      </c>
      <c r="E1" t="s">
        <v>6</v>
      </c>
      <c r="F1" t="s">
        <v>7</v>
      </c>
      <c r="G1" t="s">
        <v>8</v>
      </c>
      <c r="H1" s="5" t="s">
        <v>9</v>
      </c>
      <c r="I1" t="s">
        <v>10</v>
      </c>
      <c r="J1" t="s">
        <v>11</v>
      </c>
      <c r="K1" s="8" t="s">
        <v>12</v>
      </c>
      <c r="L1" t="s">
        <v>13</v>
      </c>
      <c r="M1" t="s">
        <v>15</v>
      </c>
      <c r="N1" t="s">
        <v>16</v>
      </c>
    </row>
    <row r="2" spans="1:14">
      <c r="A2" t="s">
        <v>732</v>
      </c>
      <c r="B2" s="8" t="s">
        <v>20</v>
      </c>
      <c r="C2" s="8" t="s">
        <v>1036</v>
      </c>
      <c r="D2" t="s">
        <v>36</v>
      </c>
      <c r="E2">
        <v>27.04</v>
      </c>
      <c r="F2">
        <v>4</v>
      </c>
      <c r="G2">
        <v>5.4080000000000004</v>
      </c>
      <c r="H2" s="5">
        <v>113.568</v>
      </c>
      <c r="I2" s="1">
        <v>43466</v>
      </c>
      <c r="J2" s="1">
        <v>0.85138888888888886</v>
      </c>
      <c r="K2" s="8" t="s">
        <v>23</v>
      </c>
      <c r="L2">
        <v>108.16</v>
      </c>
      <c r="M2">
        <v>5.4080000000000004</v>
      </c>
      <c r="N2">
        <v>6.9</v>
      </c>
    </row>
    <row r="3" spans="1:14">
      <c r="A3" t="s">
        <v>53</v>
      </c>
      <c r="B3" s="8" t="s">
        <v>27</v>
      </c>
      <c r="C3" s="8" t="s">
        <v>1037</v>
      </c>
      <c r="D3" t="s">
        <v>36</v>
      </c>
      <c r="E3">
        <v>72.61</v>
      </c>
      <c r="F3">
        <v>6</v>
      </c>
      <c r="G3">
        <v>21.783000000000001</v>
      </c>
      <c r="H3" s="5">
        <v>457.44299999999998</v>
      </c>
      <c r="I3" s="1">
        <v>43466</v>
      </c>
      <c r="J3" s="1">
        <v>0.44374999999999998</v>
      </c>
      <c r="K3" s="8" t="s">
        <v>33</v>
      </c>
      <c r="L3">
        <v>435.66</v>
      </c>
      <c r="M3">
        <v>21.783000000000001</v>
      </c>
      <c r="N3">
        <v>6.9</v>
      </c>
    </row>
    <row r="4" spans="1:14">
      <c r="A4" t="s">
        <v>281</v>
      </c>
      <c r="B4" s="8" t="s">
        <v>20</v>
      </c>
      <c r="C4" s="8" t="s">
        <v>1037</v>
      </c>
      <c r="D4" t="s">
        <v>32</v>
      </c>
      <c r="E4">
        <v>47.59</v>
      </c>
      <c r="F4">
        <v>8</v>
      </c>
      <c r="G4">
        <v>19.036000000000001</v>
      </c>
      <c r="H4" s="5">
        <v>399.75599999999997</v>
      </c>
      <c r="I4" s="1">
        <v>43466</v>
      </c>
      <c r="J4" s="1">
        <v>0.61597222222222225</v>
      </c>
      <c r="K4" s="8" t="s">
        <v>29</v>
      </c>
      <c r="L4">
        <v>380.72</v>
      </c>
      <c r="M4">
        <v>19.036000000000001</v>
      </c>
      <c r="N4">
        <v>5.7</v>
      </c>
    </row>
    <row r="5" spans="1:14">
      <c r="A5" t="s">
        <v>865</v>
      </c>
      <c r="B5" s="8" t="s">
        <v>20</v>
      </c>
      <c r="C5" s="8" t="s">
        <v>1036</v>
      </c>
      <c r="D5" t="s">
        <v>28</v>
      </c>
      <c r="E5">
        <v>74.22</v>
      </c>
      <c r="F5">
        <v>10</v>
      </c>
      <c r="G5">
        <v>37.11</v>
      </c>
      <c r="H5" s="5">
        <v>779.31</v>
      </c>
      <c r="I5" s="1">
        <v>43466</v>
      </c>
      <c r="J5" s="1">
        <v>0.61250000000000004</v>
      </c>
      <c r="K5" s="8" t="s">
        <v>33</v>
      </c>
      <c r="L5">
        <v>742.2</v>
      </c>
      <c r="M5">
        <v>37.11</v>
      </c>
      <c r="N5">
        <v>4.3</v>
      </c>
    </row>
    <row r="6" spans="1:14">
      <c r="A6" t="s">
        <v>603</v>
      </c>
      <c r="B6" s="8" t="s">
        <v>27</v>
      </c>
      <c r="C6" s="8" t="s">
        <v>1036</v>
      </c>
      <c r="D6" t="s">
        <v>46</v>
      </c>
      <c r="E6">
        <v>65.739999999999995</v>
      </c>
      <c r="F6">
        <v>9</v>
      </c>
      <c r="G6">
        <v>29.582999999999998</v>
      </c>
      <c r="H6" s="5">
        <v>621.24300000000005</v>
      </c>
      <c r="I6" s="1">
        <v>43466</v>
      </c>
      <c r="J6" s="1">
        <v>0.57986111111111116</v>
      </c>
      <c r="K6" s="8" t="s">
        <v>29</v>
      </c>
      <c r="L6">
        <v>591.66</v>
      </c>
      <c r="M6">
        <v>29.582999999999998</v>
      </c>
      <c r="N6">
        <v>7.7</v>
      </c>
    </row>
    <row r="7" spans="1:14">
      <c r="A7" t="s">
        <v>124</v>
      </c>
      <c r="B7" s="8" t="s">
        <v>27</v>
      </c>
      <c r="C7" s="8" t="s">
        <v>1037</v>
      </c>
      <c r="D7" t="s">
        <v>36</v>
      </c>
      <c r="E7">
        <v>42.47</v>
      </c>
      <c r="F7">
        <v>1</v>
      </c>
      <c r="G7">
        <v>2.1234999999999999</v>
      </c>
      <c r="H7" s="5">
        <v>44.593499999999999</v>
      </c>
      <c r="I7" s="1">
        <v>43467</v>
      </c>
      <c r="J7" s="1">
        <v>0.70625000000000004</v>
      </c>
      <c r="K7" s="8" t="s">
        <v>29</v>
      </c>
      <c r="L7">
        <v>42.47</v>
      </c>
      <c r="M7">
        <v>2.1234999999999999</v>
      </c>
      <c r="N7">
        <v>5.7</v>
      </c>
    </row>
    <row r="8" spans="1:14">
      <c r="A8" t="s">
        <v>594</v>
      </c>
      <c r="B8" s="8" t="s">
        <v>20</v>
      </c>
      <c r="C8" s="8" t="s">
        <v>1037</v>
      </c>
      <c r="D8" t="s">
        <v>44</v>
      </c>
      <c r="E8">
        <v>41.66</v>
      </c>
      <c r="F8">
        <v>6</v>
      </c>
      <c r="G8">
        <v>12.497999999999999</v>
      </c>
      <c r="H8" s="5">
        <v>262.45800000000003</v>
      </c>
      <c r="I8" s="1">
        <v>43467</v>
      </c>
      <c r="J8" s="1">
        <v>0.64166666666666672</v>
      </c>
      <c r="K8" s="8" t="s">
        <v>23</v>
      </c>
      <c r="L8">
        <v>249.96</v>
      </c>
      <c r="M8">
        <v>12.497999999999999</v>
      </c>
      <c r="N8">
        <v>5.6</v>
      </c>
    </row>
    <row r="9" spans="1:14">
      <c r="A9" t="s">
        <v>241</v>
      </c>
      <c r="B9" s="8" t="s">
        <v>27</v>
      </c>
      <c r="C9" s="8" t="s">
        <v>1036</v>
      </c>
      <c r="D9" t="s">
        <v>22</v>
      </c>
      <c r="E9">
        <v>23.03</v>
      </c>
      <c r="F9">
        <v>9</v>
      </c>
      <c r="G9">
        <v>10.3635</v>
      </c>
      <c r="H9" s="5">
        <v>217.6335</v>
      </c>
      <c r="I9" s="1">
        <v>43468</v>
      </c>
      <c r="J9" s="1">
        <v>0.50138888888888888</v>
      </c>
      <c r="K9" s="8" t="s">
        <v>23</v>
      </c>
      <c r="L9">
        <v>207.27</v>
      </c>
      <c r="M9">
        <v>10.3635</v>
      </c>
      <c r="N9">
        <v>7.9</v>
      </c>
    </row>
    <row r="10" spans="1:14">
      <c r="A10" t="s">
        <v>206</v>
      </c>
      <c r="B10" s="8" t="s">
        <v>27</v>
      </c>
      <c r="C10" s="8" t="s">
        <v>1037</v>
      </c>
      <c r="D10" t="s">
        <v>22</v>
      </c>
      <c r="E10">
        <v>70.010000000000005</v>
      </c>
      <c r="F10">
        <v>5</v>
      </c>
      <c r="G10">
        <v>17.502500000000001</v>
      </c>
      <c r="H10" s="5">
        <v>367.55250000000001</v>
      </c>
      <c r="I10" s="1">
        <v>43468</v>
      </c>
      <c r="J10" s="1">
        <v>0.48333333333333334</v>
      </c>
      <c r="K10" s="8" t="s">
        <v>23</v>
      </c>
      <c r="L10">
        <v>350.05</v>
      </c>
      <c r="M10">
        <v>17.502500000000001</v>
      </c>
      <c r="N10">
        <v>5.5</v>
      </c>
    </row>
    <row r="11" spans="1:14">
      <c r="A11" t="s">
        <v>410</v>
      </c>
      <c r="B11" s="8" t="s">
        <v>27</v>
      </c>
      <c r="C11" s="8" t="s">
        <v>1036</v>
      </c>
      <c r="D11" t="s">
        <v>32</v>
      </c>
      <c r="E11">
        <v>67.09</v>
      </c>
      <c r="F11">
        <v>5</v>
      </c>
      <c r="G11">
        <v>16.772500000000001</v>
      </c>
      <c r="H11" s="5">
        <v>352.22250000000003</v>
      </c>
      <c r="I11" s="1">
        <v>43468</v>
      </c>
      <c r="J11" s="1">
        <v>0.69930555555555551</v>
      </c>
      <c r="K11" s="8" t="s">
        <v>33</v>
      </c>
      <c r="L11">
        <v>335.45</v>
      </c>
      <c r="M11">
        <v>16.772500000000001</v>
      </c>
      <c r="N11">
        <v>9.1</v>
      </c>
    </row>
    <row r="12" spans="1:14">
      <c r="A12" t="s">
        <v>448</v>
      </c>
      <c r="B12" s="8" t="s">
        <v>20</v>
      </c>
      <c r="C12" s="8" t="s">
        <v>1037</v>
      </c>
      <c r="D12" t="s">
        <v>22</v>
      </c>
      <c r="E12">
        <v>20.97</v>
      </c>
      <c r="F12">
        <v>5</v>
      </c>
      <c r="G12">
        <v>5.2424999999999997</v>
      </c>
      <c r="H12" s="5">
        <v>110.0925</v>
      </c>
      <c r="I12" s="1">
        <v>43469</v>
      </c>
      <c r="J12" s="1">
        <v>0.55625000000000002</v>
      </c>
      <c r="K12" s="8" t="s">
        <v>29</v>
      </c>
      <c r="L12">
        <v>104.85</v>
      </c>
      <c r="M12">
        <v>5.2424999999999997</v>
      </c>
      <c r="N12">
        <v>7.8</v>
      </c>
    </row>
    <row r="13" spans="1:14">
      <c r="A13" t="s">
        <v>305</v>
      </c>
      <c r="B13" s="8" t="s">
        <v>20</v>
      </c>
      <c r="C13" s="8" t="s">
        <v>1036</v>
      </c>
      <c r="D13" t="s">
        <v>32</v>
      </c>
      <c r="E13">
        <v>35.54</v>
      </c>
      <c r="F13">
        <v>10</v>
      </c>
      <c r="G13">
        <v>17.77</v>
      </c>
      <c r="H13" s="5">
        <v>373.17</v>
      </c>
      <c r="I13" s="1">
        <v>43469</v>
      </c>
      <c r="J13" s="1">
        <v>0.56527777777777777</v>
      </c>
      <c r="K13" s="8" t="s">
        <v>23</v>
      </c>
      <c r="L13">
        <v>355.4</v>
      </c>
      <c r="M13">
        <v>17.77</v>
      </c>
      <c r="N13">
        <v>7</v>
      </c>
    </row>
    <row r="14" spans="1:14">
      <c r="A14" t="s">
        <v>304</v>
      </c>
      <c r="B14" s="8" t="s">
        <v>20</v>
      </c>
      <c r="C14" s="8" t="s">
        <v>1037</v>
      </c>
      <c r="D14" t="s">
        <v>32</v>
      </c>
      <c r="E14">
        <v>70.739999999999995</v>
      </c>
      <c r="F14">
        <v>4</v>
      </c>
      <c r="G14">
        <v>14.148</v>
      </c>
      <c r="H14" s="5">
        <v>297.108</v>
      </c>
      <c r="I14" s="1">
        <v>43470</v>
      </c>
      <c r="J14" s="1">
        <v>0.67013888888888884</v>
      </c>
      <c r="K14" s="8" t="s">
        <v>33</v>
      </c>
      <c r="L14">
        <v>282.95999999999998</v>
      </c>
      <c r="M14">
        <v>14.148</v>
      </c>
      <c r="N14">
        <v>4.4000000000000004</v>
      </c>
    </row>
    <row r="15" spans="1:14">
      <c r="A15" t="s">
        <v>547</v>
      </c>
      <c r="B15" s="8" t="s">
        <v>27</v>
      </c>
      <c r="C15" s="8" t="s">
        <v>1036</v>
      </c>
      <c r="D15" t="s">
        <v>32</v>
      </c>
      <c r="E15">
        <v>42.91</v>
      </c>
      <c r="F15">
        <v>5</v>
      </c>
      <c r="G15">
        <v>10.727499999999999</v>
      </c>
      <c r="H15" s="5">
        <v>225.2775</v>
      </c>
      <c r="I15" s="1">
        <v>43470</v>
      </c>
      <c r="J15" s="1">
        <v>0.72847222222222219</v>
      </c>
      <c r="K15" s="8" t="s">
        <v>23</v>
      </c>
      <c r="L15">
        <v>214.55</v>
      </c>
      <c r="M15">
        <v>10.727499999999999</v>
      </c>
      <c r="N15">
        <v>6.1</v>
      </c>
    </row>
    <row r="16" spans="1:14">
      <c r="A16" t="s">
        <v>17</v>
      </c>
      <c r="B16" s="8" t="s">
        <v>20</v>
      </c>
      <c r="C16" s="8" t="s">
        <v>1036</v>
      </c>
      <c r="D16" t="s">
        <v>22</v>
      </c>
      <c r="E16">
        <v>74.69</v>
      </c>
      <c r="F16">
        <v>7</v>
      </c>
      <c r="G16">
        <v>26.141500000000001</v>
      </c>
      <c r="H16" s="5">
        <v>548.97149999999999</v>
      </c>
      <c r="I16" s="1">
        <v>43470</v>
      </c>
      <c r="J16" s="1">
        <v>0.54722222222222228</v>
      </c>
      <c r="K16" s="8" t="s">
        <v>23</v>
      </c>
      <c r="L16">
        <v>522.83000000000004</v>
      </c>
      <c r="M16">
        <v>26.141500000000001</v>
      </c>
      <c r="N16">
        <v>9.1</v>
      </c>
    </row>
    <row r="17" spans="1:14">
      <c r="A17" t="s">
        <v>279</v>
      </c>
      <c r="B17" s="8" t="s">
        <v>20</v>
      </c>
      <c r="C17" s="8" t="s">
        <v>1037</v>
      </c>
      <c r="D17" t="s">
        <v>32</v>
      </c>
      <c r="E17">
        <v>62.65</v>
      </c>
      <c r="F17">
        <v>4</v>
      </c>
      <c r="G17">
        <v>12.53</v>
      </c>
      <c r="H17" s="5">
        <v>263.13</v>
      </c>
      <c r="I17" s="1">
        <v>43470</v>
      </c>
      <c r="J17" s="1">
        <v>0.47569444444444442</v>
      </c>
      <c r="K17" s="8" t="s">
        <v>29</v>
      </c>
      <c r="L17">
        <v>250.6</v>
      </c>
      <c r="M17">
        <v>12.53</v>
      </c>
      <c r="N17">
        <v>4.2</v>
      </c>
    </row>
    <row r="18" spans="1:14">
      <c r="A18" t="s">
        <v>981</v>
      </c>
      <c r="B18" s="8" t="s">
        <v>27</v>
      </c>
      <c r="C18" s="8" t="s">
        <v>1036</v>
      </c>
      <c r="D18" t="s">
        <v>28</v>
      </c>
      <c r="E18">
        <v>93.88</v>
      </c>
      <c r="F18">
        <v>7</v>
      </c>
      <c r="G18">
        <v>32.857999999999997</v>
      </c>
      <c r="H18" s="5">
        <v>690.01800000000003</v>
      </c>
      <c r="I18" s="1">
        <v>43470</v>
      </c>
      <c r="J18" s="1">
        <v>0.49375000000000002</v>
      </c>
      <c r="K18" s="8" t="s">
        <v>33</v>
      </c>
      <c r="L18">
        <v>657.16</v>
      </c>
      <c r="M18">
        <v>32.857999999999997</v>
      </c>
      <c r="N18">
        <v>7.3</v>
      </c>
    </row>
    <row r="19" spans="1:14">
      <c r="A19" t="s">
        <v>905</v>
      </c>
      <c r="B19" s="8" t="s">
        <v>27</v>
      </c>
      <c r="C19" s="8" t="s">
        <v>1037</v>
      </c>
      <c r="D19" t="s">
        <v>36</v>
      </c>
      <c r="E19">
        <v>64.59</v>
      </c>
      <c r="F19">
        <v>4</v>
      </c>
      <c r="G19">
        <v>12.917999999999999</v>
      </c>
      <c r="H19" s="5">
        <v>271.27800000000002</v>
      </c>
      <c r="I19" s="1">
        <v>43471</v>
      </c>
      <c r="J19" s="1">
        <v>0.56597222222222221</v>
      </c>
      <c r="K19" s="8" t="s">
        <v>23</v>
      </c>
      <c r="L19">
        <v>258.36</v>
      </c>
      <c r="M19">
        <v>12.917999999999999</v>
      </c>
      <c r="N19">
        <v>9.3000000000000007</v>
      </c>
    </row>
    <row r="20" spans="1:14">
      <c r="A20" t="s">
        <v>290</v>
      </c>
      <c r="B20" s="8" t="s">
        <v>20</v>
      </c>
      <c r="C20" s="8" t="s">
        <v>1037</v>
      </c>
      <c r="D20" t="s">
        <v>32</v>
      </c>
      <c r="E20">
        <v>58.9</v>
      </c>
      <c r="F20">
        <v>8</v>
      </c>
      <c r="G20">
        <v>23.56</v>
      </c>
      <c r="H20" s="5">
        <v>494.76</v>
      </c>
      <c r="I20" s="1">
        <v>43471</v>
      </c>
      <c r="J20" s="1">
        <v>0.47430555555555554</v>
      </c>
      <c r="K20" s="8" t="s">
        <v>29</v>
      </c>
      <c r="L20">
        <v>471.2</v>
      </c>
      <c r="M20">
        <v>23.56</v>
      </c>
      <c r="N20">
        <v>8.9</v>
      </c>
    </row>
    <row r="21" spans="1:14">
      <c r="A21" t="s">
        <v>991</v>
      </c>
      <c r="B21" s="8" t="s">
        <v>27</v>
      </c>
      <c r="C21" s="8" t="s">
        <v>1036</v>
      </c>
      <c r="D21" t="s">
        <v>46</v>
      </c>
      <c r="E21">
        <v>42.57</v>
      </c>
      <c r="F21">
        <v>7</v>
      </c>
      <c r="G21">
        <v>14.8995</v>
      </c>
      <c r="H21" s="5">
        <v>312.8895</v>
      </c>
      <c r="I21" s="1">
        <v>43471</v>
      </c>
      <c r="J21" s="1">
        <v>0.49375000000000002</v>
      </c>
      <c r="K21" s="8" t="s">
        <v>29</v>
      </c>
      <c r="L21">
        <v>297.99</v>
      </c>
      <c r="M21">
        <v>14.8995</v>
      </c>
      <c r="N21">
        <v>6.8</v>
      </c>
    </row>
    <row r="22" spans="1:14">
      <c r="A22" t="s">
        <v>420</v>
      </c>
      <c r="B22" s="8" t="s">
        <v>27</v>
      </c>
      <c r="C22" s="8" t="s">
        <v>1036</v>
      </c>
      <c r="D22" t="s">
        <v>44</v>
      </c>
      <c r="E22">
        <v>40.94</v>
      </c>
      <c r="F22">
        <v>5</v>
      </c>
      <c r="G22">
        <v>10.234999999999999</v>
      </c>
      <c r="H22" s="5">
        <v>214.935</v>
      </c>
      <c r="I22" s="1">
        <v>43471</v>
      </c>
      <c r="J22" s="1">
        <v>0.58194444444444449</v>
      </c>
      <c r="K22" s="8" t="s">
        <v>23</v>
      </c>
      <c r="L22">
        <v>204.7</v>
      </c>
      <c r="M22">
        <v>10.234999999999999</v>
      </c>
      <c r="N22">
        <v>9.9</v>
      </c>
    </row>
    <row r="23" spans="1:14">
      <c r="A23" t="s">
        <v>318</v>
      </c>
      <c r="B23" s="8" t="s">
        <v>27</v>
      </c>
      <c r="C23" s="8" t="s">
        <v>1036</v>
      </c>
      <c r="D23" t="s">
        <v>36</v>
      </c>
      <c r="E23">
        <v>15.34</v>
      </c>
      <c r="F23">
        <v>1</v>
      </c>
      <c r="G23">
        <v>0.76700000000000002</v>
      </c>
      <c r="H23" s="5">
        <v>16.106999999999999</v>
      </c>
      <c r="I23" s="1">
        <v>43471</v>
      </c>
      <c r="J23" s="1">
        <v>0.46458333333333335</v>
      </c>
      <c r="K23" s="8" t="s">
        <v>29</v>
      </c>
      <c r="L23">
        <v>15.34</v>
      </c>
      <c r="M23">
        <v>0.76700000000000002</v>
      </c>
      <c r="N23">
        <v>6.5</v>
      </c>
    </row>
    <row r="24" spans="1:14">
      <c r="A24" t="s">
        <v>284</v>
      </c>
      <c r="B24" s="8" t="s">
        <v>20</v>
      </c>
      <c r="C24" s="8" t="s">
        <v>1037</v>
      </c>
      <c r="D24" t="s">
        <v>28</v>
      </c>
      <c r="E24">
        <v>77.72</v>
      </c>
      <c r="F24">
        <v>4</v>
      </c>
      <c r="G24">
        <v>15.544</v>
      </c>
      <c r="H24" s="5">
        <v>326.42399999999998</v>
      </c>
      <c r="I24" s="1">
        <v>43472</v>
      </c>
      <c r="J24" s="1">
        <v>0.6743055555555556</v>
      </c>
      <c r="K24" s="8" t="s">
        <v>33</v>
      </c>
      <c r="L24">
        <v>310.88</v>
      </c>
      <c r="M24">
        <v>15.544</v>
      </c>
      <c r="N24">
        <v>8.8000000000000007</v>
      </c>
    </row>
    <row r="25" spans="1:14">
      <c r="A25" t="s">
        <v>583</v>
      </c>
      <c r="B25" s="8" t="s">
        <v>27</v>
      </c>
      <c r="C25" s="8" t="s">
        <v>1037</v>
      </c>
      <c r="D25" t="s">
        <v>36</v>
      </c>
      <c r="E25">
        <v>60.95</v>
      </c>
      <c r="F25">
        <v>9</v>
      </c>
      <c r="G25">
        <v>27.427499999999998</v>
      </c>
      <c r="H25" s="5">
        <v>575.97749999999996</v>
      </c>
      <c r="I25" s="1">
        <v>43472</v>
      </c>
      <c r="J25" s="1">
        <v>0.50555555555555554</v>
      </c>
      <c r="K25" s="8" t="s">
        <v>33</v>
      </c>
      <c r="L25">
        <v>548.54999999999995</v>
      </c>
      <c r="M25">
        <v>27.427499999999998</v>
      </c>
      <c r="N25">
        <v>6</v>
      </c>
    </row>
    <row r="26" spans="1:14">
      <c r="A26" t="s">
        <v>308</v>
      </c>
      <c r="B26" s="8" t="s">
        <v>20</v>
      </c>
      <c r="C26" s="8" t="s">
        <v>1036</v>
      </c>
      <c r="D26" t="s">
        <v>32</v>
      </c>
      <c r="E26">
        <v>21.54</v>
      </c>
      <c r="F26">
        <v>9</v>
      </c>
      <c r="G26">
        <v>9.6929999999999996</v>
      </c>
      <c r="H26" s="5">
        <v>203.553</v>
      </c>
      <c r="I26" s="1">
        <v>43472</v>
      </c>
      <c r="J26" s="1">
        <v>0.48888888888888887</v>
      </c>
      <c r="K26" s="8" t="s">
        <v>33</v>
      </c>
      <c r="L26">
        <v>193.86</v>
      </c>
      <c r="M26">
        <v>9.6929999999999996</v>
      </c>
      <c r="N26">
        <v>8.8000000000000007</v>
      </c>
    </row>
    <row r="27" spans="1:14">
      <c r="A27" t="s">
        <v>843</v>
      </c>
      <c r="B27" s="8" t="s">
        <v>27</v>
      </c>
      <c r="C27" s="8" t="s">
        <v>1036</v>
      </c>
      <c r="D27" t="s">
        <v>28</v>
      </c>
      <c r="E27">
        <v>50.23</v>
      </c>
      <c r="F27">
        <v>4</v>
      </c>
      <c r="G27">
        <v>10.045999999999999</v>
      </c>
      <c r="H27" s="5">
        <v>210.96600000000001</v>
      </c>
      <c r="I27" s="1">
        <v>43473</v>
      </c>
      <c r="J27" s="1">
        <v>0.71666666666666667</v>
      </c>
      <c r="K27" s="8" t="s">
        <v>29</v>
      </c>
      <c r="L27">
        <v>200.92</v>
      </c>
      <c r="M27">
        <v>10.045999999999999</v>
      </c>
      <c r="N27">
        <v>9</v>
      </c>
    </row>
    <row r="28" spans="1:14">
      <c r="A28" t="s">
        <v>518</v>
      </c>
      <c r="B28" s="8" t="s">
        <v>27</v>
      </c>
      <c r="C28" s="8" t="s">
        <v>1037</v>
      </c>
      <c r="D28" t="s">
        <v>36</v>
      </c>
      <c r="E28">
        <v>37.14</v>
      </c>
      <c r="F28">
        <v>5</v>
      </c>
      <c r="G28">
        <v>9.2850000000000001</v>
      </c>
      <c r="H28" s="5">
        <v>194.98500000000001</v>
      </c>
      <c r="I28" s="1">
        <v>43473</v>
      </c>
      <c r="J28" s="1">
        <v>0.54513888888888884</v>
      </c>
      <c r="K28" s="8" t="s">
        <v>23</v>
      </c>
      <c r="L28">
        <v>185.7</v>
      </c>
      <c r="M28">
        <v>9.2850000000000001</v>
      </c>
      <c r="N28">
        <v>5</v>
      </c>
    </row>
    <row r="29" spans="1:14">
      <c r="A29" t="s">
        <v>897</v>
      </c>
      <c r="B29" s="8" t="s">
        <v>20</v>
      </c>
      <c r="C29" s="8" t="s">
        <v>1037</v>
      </c>
      <c r="D29" t="s">
        <v>36</v>
      </c>
      <c r="E29">
        <v>12.76</v>
      </c>
      <c r="F29">
        <v>2</v>
      </c>
      <c r="G29">
        <v>1.276</v>
      </c>
      <c r="H29" s="5">
        <v>26.795999999999999</v>
      </c>
      <c r="I29" s="1">
        <v>43473</v>
      </c>
      <c r="J29" s="1">
        <v>0.75416666666666665</v>
      </c>
      <c r="K29" s="8" t="s">
        <v>23</v>
      </c>
      <c r="L29">
        <v>25.52</v>
      </c>
      <c r="M29">
        <v>1.276</v>
      </c>
      <c r="N29">
        <v>7.8</v>
      </c>
    </row>
    <row r="30" spans="1:14">
      <c r="A30" t="s">
        <v>900</v>
      </c>
      <c r="B30" s="8" t="s">
        <v>20</v>
      </c>
      <c r="C30" s="8" t="s">
        <v>1036</v>
      </c>
      <c r="D30" t="s">
        <v>28</v>
      </c>
      <c r="E30">
        <v>79.59</v>
      </c>
      <c r="F30">
        <v>3</v>
      </c>
      <c r="G30">
        <v>11.938499999999999</v>
      </c>
      <c r="H30" s="5">
        <v>250.70849999999999</v>
      </c>
      <c r="I30" s="1">
        <v>43473</v>
      </c>
      <c r="J30" s="1">
        <v>0.60416666666666663</v>
      </c>
      <c r="K30" s="8" t="s">
        <v>29</v>
      </c>
      <c r="L30">
        <v>238.77</v>
      </c>
      <c r="M30">
        <v>11.938499999999999</v>
      </c>
      <c r="N30">
        <v>6.6</v>
      </c>
    </row>
    <row r="31" spans="1:14">
      <c r="A31" t="s">
        <v>872</v>
      </c>
      <c r="B31" s="8" t="s">
        <v>20</v>
      </c>
      <c r="C31" s="8" t="s">
        <v>1037</v>
      </c>
      <c r="D31" t="s">
        <v>46</v>
      </c>
      <c r="E31">
        <v>38.54</v>
      </c>
      <c r="F31">
        <v>5</v>
      </c>
      <c r="G31">
        <v>9.6349999999999998</v>
      </c>
      <c r="H31" s="5">
        <v>202.33500000000001</v>
      </c>
      <c r="I31" s="1">
        <v>43474</v>
      </c>
      <c r="J31" s="1">
        <v>0.56527777777777777</v>
      </c>
      <c r="K31" s="8" t="s">
        <v>23</v>
      </c>
      <c r="L31">
        <v>192.7</v>
      </c>
      <c r="M31">
        <v>9.6349999999999998</v>
      </c>
      <c r="N31">
        <v>5.6</v>
      </c>
    </row>
    <row r="32" spans="1:14">
      <c r="A32" t="s">
        <v>128</v>
      </c>
      <c r="B32" s="8" t="s">
        <v>20</v>
      </c>
      <c r="C32" s="8" t="s">
        <v>1036</v>
      </c>
      <c r="D32" t="s">
        <v>36</v>
      </c>
      <c r="E32">
        <v>21.98</v>
      </c>
      <c r="F32">
        <v>7</v>
      </c>
      <c r="G32">
        <v>7.6929999999999996</v>
      </c>
      <c r="H32" s="5">
        <v>161.553</v>
      </c>
      <c r="I32" s="1">
        <v>43475</v>
      </c>
      <c r="J32" s="1">
        <v>0.6958333333333333</v>
      </c>
      <c r="K32" s="8" t="s">
        <v>23</v>
      </c>
      <c r="L32">
        <v>153.86000000000001</v>
      </c>
      <c r="M32">
        <v>7.6929999999999996</v>
      </c>
      <c r="N32">
        <v>5.0999999999999996</v>
      </c>
    </row>
    <row r="33" spans="1:14">
      <c r="A33" t="s">
        <v>333</v>
      </c>
      <c r="B33" s="8" t="s">
        <v>20</v>
      </c>
      <c r="C33" s="8" t="s">
        <v>1037</v>
      </c>
      <c r="D33" t="s">
        <v>32</v>
      </c>
      <c r="E33">
        <v>78.38</v>
      </c>
      <c r="F33">
        <v>6</v>
      </c>
      <c r="G33">
        <v>23.513999999999999</v>
      </c>
      <c r="H33" s="5">
        <v>493.79399999999998</v>
      </c>
      <c r="I33" s="1">
        <v>43475</v>
      </c>
      <c r="J33" s="1">
        <v>0.59444444444444444</v>
      </c>
      <c r="K33" s="8" t="s">
        <v>23</v>
      </c>
      <c r="L33">
        <v>470.28</v>
      </c>
      <c r="M33">
        <v>23.513999999999999</v>
      </c>
      <c r="N33">
        <v>5.8</v>
      </c>
    </row>
    <row r="34" spans="1:14">
      <c r="A34" t="s">
        <v>40</v>
      </c>
      <c r="B34" s="8" t="s">
        <v>20</v>
      </c>
      <c r="C34" s="8" t="s">
        <v>1036</v>
      </c>
      <c r="D34" t="s">
        <v>22</v>
      </c>
      <c r="E34">
        <v>36.26</v>
      </c>
      <c r="F34">
        <v>2</v>
      </c>
      <c r="G34">
        <v>3.6259999999999999</v>
      </c>
      <c r="H34" s="5">
        <v>76.146000000000001</v>
      </c>
      <c r="I34" s="1">
        <v>43475</v>
      </c>
      <c r="J34" s="1">
        <v>0.71875</v>
      </c>
      <c r="K34" s="8" t="s">
        <v>33</v>
      </c>
      <c r="L34">
        <v>72.52</v>
      </c>
      <c r="M34">
        <v>3.6259999999999999</v>
      </c>
      <c r="N34">
        <v>7.2</v>
      </c>
    </row>
    <row r="35" spans="1:14">
      <c r="A35" t="s">
        <v>276</v>
      </c>
      <c r="B35" s="8" t="s">
        <v>27</v>
      </c>
      <c r="C35" s="8" t="s">
        <v>1037</v>
      </c>
      <c r="D35" t="s">
        <v>44</v>
      </c>
      <c r="E35">
        <v>24.94</v>
      </c>
      <c r="F35">
        <v>9</v>
      </c>
      <c r="G35">
        <v>11.223000000000001</v>
      </c>
      <c r="H35" s="5">
        <v>235.68299999999999</v>
      </c>
      <c r="I35" s="1">
        <v>43476</v>
      </c>
      <c r="J35" s="1">
        <v>0.7006944444444444</v>
      </c>
      <c r="K35" s="8" t="s">
        <v>33</v>
      </c>
      <c r="L35">
        <v>224.46</v>
      </c>
      <c r="M35">
        <v>11.223000000000001</v>
      </c>
      <c r="N35">
        <v>5.6</v>
      </c>
    </row>
    <row r="36" spans="1:14">
      <c r="A36" t="s">
        <v>442</v>
      </c>
      <c r="B36" s="8" t="s">
        <v>27</v>
      </c>
      <c r="C36" s="8" t="s">
        <v>1037</v>
      </c>
      <c r="D36" t="s">
        <v>44</v>
      </c>
      <c r="E36">
        <v>13.79</v>
      </c>
      <c r="F36">
        <v>5</v>
      </c>
      <c r="G36">
        <v>3.4474999999999998</v>
      </c>
      <c r="H36" s="5">
        <v>72.397499999999994</v>
      </c>
      <c r="I36" s="1">
        <v>43476</v>
      </c>
      <c r="J36" s="1">
        <v>0.79652777777777772</v>
      </c>
      <c r="K36" s="8" t="s">
        <v>33</v>
      </c>
      <c r="L36">
        <v>68.95</v>
      </c>
      <c r="M36">
        <v>3.4474999999999998</v>
      </c>
      <c r="N36">
        <v>7.8</v>
      </c>
    </row>
    <row r="37" spans="1:14">
      <c r="A37" t="s">
        <v>715</v>
      </c>
      <c r="B37" s="8" t="s">
        <v>20</v>
      </c>
      <c r="C37" s="8" t="s">
        <v>1037</v>
      </c>
      <c r="D37" t="s">
        <v>44</v>
      </c>
      <c r="E37">
        <v>48.5</v>
      </c>
      <c r="F37">
        <v>6</v>
      </c>
      <c r="G37">
        <v>14.55</v>
      </c>
      <c r="H37" s="5">
        <v>305.55</v>
      </c>
      <c r="I37" s="1">
        <v>43476</v>
      </c>
      <c r="J37" s="1">
        <v>0.58125000000000004</v>
      </c>
      <c r="K37" s="8" t="s">
        <v>23</v>
      </c>
      <c r="L37">
        <v>291</v>
      </c>
      <c r="M37">
        <v>14.55</v>
      </c>
      <c r="N37">
        <v>9.4</v>
      </c>
    </row>
    <row r="38" spans="1:14">
      <c r="A38" t="s">
        <v>793</v>
      </c>
      <c r="B38" s="8" t="s">
        <v>27</v>
      </c>
      <c r="C38" s="8" t="s">
        <v>1036</v>
      </c>
      <c r="D38" t="s">
        <v>32</v>
      </c>
      <c r="E38">
        <v>96.52</v>
      </c>
      <c r="F38">
        <v>6</v>
      </c>
      <c r="G38">
        <v>28.956</v>
      </c>
      <c r="H38" s="5">
        <v>608.07600000000002</v>
      </c>
      <c r="I38" s="1">
        <v>43476</v>
      </c>
      <c r="J38" s="1">
        <v>0.49444444444444446</v>
      </c>
      <c r="K38" s="8" t="s">
        <v>29</v>
      </c>
      <c r="L38">
        <v>579.12</v>
      </c>
      <c r="M38">
        <v>28.956</v>
      </c>
      <c r="N38">
        <v>4.5</v>
      </c>
    </row>
    <row r="39" spans="1:14">
      <c r="A39" t="s">
        <v>416</v>
      </c>
      <c r="B39" s="8" t="s">
        <v>20</v>
      </c>
      <c r="C39" s="8" t="s">
        <v>1037</v>
      </c>
      <c r="D39" t="s">
        <v>36</v>
      </c>
      <c r="E39">
        <v>82.33</v>
      </c>
      <c r="F39">
        <v>4</v>
      </c>
      <c r="G39">
        <v>16.466000000000001</v>
      </c>
      <c r="H39" s="5">
        <v>345.786</v>
      </c>
      <c r="I39" s="1">
        <v>43476</v>
      </c>
      <c r="J39" s="1">
        <v>0.44236111111111109</v>
      </c>
      <c r="K39" s="8" t="s">
        <v>33</v>
      </c>
      <c r="L39">
        <v>329.32</v>
      </c>
      <c r="M39">
        <v>16.466000000000001</v>
      </c>
      <c r="N39">
        <v>7.5</v>
      </c>
    </row>
    <row r="40" spans="1:14">
      <c r="A40" t="s">
        <v>275</v>
      </c>
      <c r="B40" s="8" t="s">
        <v>27</v>
      </c>
      <c r="C40" s="8" t="s">
        <v>1037</v>
      </c>
      <c r="D40" t="s">
        <v>46</v>
      </c>
      <c r="E40">
        <v>89.69</v>
      </c>
      <c r="F40">
        <v>1</v>
      </c>
      <c r="G40">
        <v>4.4844999999999997</v>
      </c>
      <c r="H40" s="5">
        <v>94.174499999999995</v>
      </c>
      <c r="I40" s="1">
        <v>43476</v>
      </c>
      <c r="J40" s="1">
        <v>0.47222222222222221</v>
      </c>
      <c r="K40" s="8" t="s">
        <v>23</v>
      </c>
      <c r="L40">
        <v>89.69</v>
      </c>
      <c r="M40">
        <v>4.4844999999999997</v>
      </c>
      <c r="N40">
        <v>4.9000000000000004</v>
      </c>
    </row>
    <row r="41" spans="1:14">
      <c r="A41" t="s">
        <v>582</v>
      </c>
      <c r="B41" s="8" t="s">
        <v>27</v>
      </c>
      <c r="C41" s="8" t="s">
        <v>1036</v>
      </c>
      <c r="D41" t="s">
        <v>46</v>
      </c>
      <c r="E41">
        <v>29.42</v>
      </c>
      <c r="F41">
        <v>10</v>
      </c>
      <c r="G41">
        <v>14.71</v>
      </c>
      <c r="H41" s="5">
        <v>308.91000000000003</v>
      </c>
      <c r="I41" s="1">
        <v>43477</v>
      </c>
      <c r="J41" s="1">
        <v>0.68263888888888891</v>
      </c>
      <c r="K41" s="8" t="s">
        <v>23</v>
      </c>
      <c r="L41">
        <v>294.2</v>
      </c>
      <c r="M41">
        <v>14.71</v>
      </c>
      <c r="N41">
        <v>8.9</v>
      </c>
    </row>
    <row r="42" spans="1:14">
      <c r="A42" t="s">
        <v>141</v>
      </c>
      <c r="B42" s="8" t="s">
        <v>20</v>
      </c>
      <c r="C42" s="8" t="s">
        <v>1037</v>
      </c>
      <c r="D42" t="s">
        <v>28</v>
      </c>
      <c r="E42">
        <v>88.67</v>
      </c>
      <c r="F42">
        <v>10</v>
      </c>
      <c r="G42">
        <v>44.335000000000001</v>
      </c>
      <c r="H42" s="5">
        <v>931.03499999999997</v>
      </c>
      <c r="I42" s="1">
        <v>43477</v>
      </c>
      <c r="J42" s="1">
        <v>0.61805555555555558</v>
      </c>
      <c r="K42" s="8" t="s">
        <v>23</v>
      </c>
      <c r="L42">
        <v>886.7</v>
      </c>
      <c r="M42">
        <v>44.335000000000001</v>
      </c>
      <c r="N42">
        <v>7.3</v>
      </c>
    </row>
    <row r="43" spans="1:14">
      <c r="A43" t="s">
        <v>113</v>
      </c>
      <c r="B43" s="8" t="s">
        <v>20</v>
      </c>
      <c r="C43" s="8" t="s">
        <v>1036</v>
      </c>
      <c r="D43" t="s">
        <v>46</v>
      </c>
      <c r="E43">
        <v>20.010000000000002</v>
      </c>
      <c r="F43">
        <v>9</v>
      </c>
      <c r="G43">
        <v>9.0045000000000002</v>
      </c>
      <c r="H43" s="5">
        <v>189.09450000000001</v>
      </c>
      <c r="I43" s="1">
        <v>43477</v>
      </c>
      <c r="J43" s="1">
        <v>0.65833333333333333</v>
      </c>
      <c r="K43" s="8" t="s">
        <v>33</v>
      </c>
      <c r="L43">
        <v>180.09</v>
      </c>
      <c r="M43">
        <v>9.0045000000000002</v>
      </c>
      <c r="N43">
        <v>5.7</v>
      </c>
    </row>
    <row r="44" spans="1:14">
      <c r="A44" t="s">
        <v>963</v>
      </c>
      <c r="B44" s="8" t="s">
        <v>20</v>
      </c>
      <c r="C44" s="8" t="s">
        <v>1036</v>
      </c>
      <c r="D44" t="s">
        <v>22</v>
      </c>
      <c r="E44">
        <v>39.619999999999997</v>
      </c>
      <c r="F44">
        <v>9</v>
      </c>
      <c r="G44">
        <v>17.829000000000001</v>
      </c>
      <c r="H44" s="5">
        <v>374.40899999999999</v>
      </c>
      <c r="I44" s="1">
        <v>43478</v>
      </c>
      <c r="J44" s="1">
        <v>0.74583333333333335</v>
      </c>
      <c r="K44" s="8" t="s">
        <v>33</v>
      </c>
      <c r="L44">
        <v>356.58</v>
      </c>
      <c r="M44">
        <v>17.829000000000001</v>
      </c>
      <c r="N44">
        <v>6.8</v>
      </c>
    </row>
    <row r="45" spans="1:14">
      <c r="A45" t="s">
        <v>1003</v>
      </c>
      <c r="B45" s="8" t="s">
        <v>20</v>
      </c>
      <c r="C45" s="8" t="s">
        <v>1037</v>
      </c>
      <c r="D45" t="s">
        <v>32</v>
      </c>
      <c r="E45">
        <v>81.010000000000005</v>
      </c>
      <c r="F45">
        <v>3</v>
      </c>
      <c r="G45">
        <v>12.1515</v>
      </c>
      <c r="H45" s="5">
        <v>255.1815</v>
      </c>
      <c r="I45" s="1">
        <v>43478</v>
      </c>
      <c r="J45" s="1">
        <v>0.53819444444444442</v>
      </c>
      <c r="K45" s="8" t="s">
        <v>33</v>
      </c>
      <c r="L45">
        <v>243.03</v>
      </c>
      <c r="M45">
        <v>12.1515</v>
      </c>
      <c r="N45">
        <v>9.3000000000000007</v>
      </c>
    </row>
    <row r="46" spans="1:14">
      <c r="A46" t="s">
        <v>921</v>
      </c>
      <c r="B46" s="8" t="s">
        <v>27</v>
      </c>
      <c r="C46" s="8" t="s">
        <v>1037</v>
      </c>
      <c r="D46" t="s">
        <v>36</v>
      </c>
      <c r="E46">
        <v>45.58</v>
      </c>
      <c r="F46">
        <v>7</v>
      </c>
      <c r="G46">
        <v>15.952999999999999</v>
      </c>
      <c r="H46" s="5">
        <v>335.01299999999998</v>
      </c>
      <c r="I46" s="1">
        <v>43478</v>
      </c>
      <c r="J46" s="1">
        <v>0.41875000000000001</v>
      </c>
      <c r="K46" s="8" t="s">
        <v>29</v>
      </c>
      <c r="L46">
        <v>319.06</v>
      </c>
      <c r="M46">
        <v>15.952999999999999</v>
      </c>
      <c r="N46">
        <v>5</v>
      </c>
    </row>
    <row r="47" spans="1:14">
      <c r="A47" t="s">
        <v>468</v>
      </c>
      <c r="B47" s="8" t="s">
        <v>27</v>
      </c>
      <c r="C47" s="8" t="s">
        <v>1036</v>
      </c>
      <c r="D47" t="s">
        <v>28</v>
      </c>
      <c r="E47">
        <v>23.46</v>
      </c>
      <c r="F47">
        <v>6</v>
      </c>
      <c r="G47">
        <v>7.0380000000000003</v>
      </c>
      <c r="H47" s="5">
        <v>147.798</v>
      </c>
      <c r="I47" s="1">
        <v>43478</v>
      </c>
      <c r="J47" s="1">
        <v>0.80138888888888893</v>
      </c>
      <c r="K47" s="8" t="s">
        <v>23</v>
      </c>
      <c r="L47">
        <v>140.76</v>
      </c>
      <c r="M47">
        <v>7.0380000000000003</v>
      </c>
      <c r="N47">
        <v>6.4</v>
      </c>
    </row>
    <row r="48" spans="1:14">
      <c r="A48" t="s">
        <v>706</v>
      </c>
      <c r="B48" s="8" t="s">
        <v>20</v>
      </c>
      <c r="C48" s="8" t="s">
        <v>1037</v>
      </c>
      <c r="D48" t="s">
        <v>46</v>
      </c>
      <c r="E48">
        <v>56.04</v>
      </c>
      <c r="F48">
        <v>10</v>
      </c>
      <c r="G48">
        <v>28.02</v>
      </c>
      <c r="H48" s="5">
        <v>588.41999999999996</v>
      </c>
      <c r="I48" s="1">
        <v>43479</v>
      </c>
      <c r="J48" s="1">
        <v>0.8125</v>
      </c>
      <c r="K48" s="8" t="s">
        <v>23</v>
      </c>
      <c r="L48">
        <v>560.4</v>
      </c>
      <c r="M48">
        <v>28.02</v>
      </c>
      <c r="N48">
        <v>4.4000000000000004</v>
      </c>
    </row>
    <row r="49" spans="1:14">
      <c r="A49" t="s">
        <v>411</v>
      </c>
      <c r="B49" s="8" t="s">
        <v>20</v>
      </c>
      <c r="C49" s="8" t="s">
        <v>1036</v>
      </c>
      <c r="D49" t="s">
        <v>46</v>
      </c>
      <c r="E49">
        <v>96.7</v>
      </c>
      <c r="F49">
        <v>5</v>
      </c>
      <c r="G49">
        <v>24.175000000000001</v>
      </c>
      <c r="H49" s="5">
        <v>507.67500000000001</v>
      </c>
      <c r="I49" s="1">
        <v>43479</v>
      </c>
      <c r="J49" s="1">
        <v>0.53611111111111109</v>
      </c>
      <c r="K49" s="8" t="s">
        <v>23</v>
      </c>
      <c r="L49">
        <v>483.5</v>
      </c>
      <c r="M49">
        <v>24.175000000000001</v>
      </c>
      <c r="N49">
        <v>7</v>
      </c>
    </row>
    <row r="50" spans="1:14">
      <c r="A50" t="s">
        <v>668</v>
      </c>
      <c r="B50" s="8" t="s">
        <v>20</v>
      </c>
      <c r="C50" s="8" t="s">
        <v>1037</v>
      </c>
      <c r="D50" t="s">
        <v>44</v>
      </c>
      <c r="E50">
        <v>83.77</v>
      </c>
      <c r="F50">
        <v>2</v>
      </c>
      <c r="G50">
        <v>8.3770000000000007</v>
      </c>
      <c r="H50" s="5">
        <v>175.917</v>
      </c>
      <c r="I50" s="1">
        <v>43480</v>
      </c>
      <c r="J50" s="1">
        <v>0.45416666666666666</v>
      </c>
      <c r="K50" s="8" t="s">
        <v>33</v>
      </c>
      <c r="L50">
        <v>167.54</v>
      </c>
      <c r="M50">
        <v>8.3770000000000007</v>
      </c>
      <c r="N50">
        <v>7</v>
      </c>
    </row>
    <row r="51" spans="1:14">
      <c r="A51" t="s">
        <v>478</v>
      </c>
      <c r="B51" s="8" t="s">
        <v>20</v>
      </c>
      <c r="C51" s="8" t="s">
        <v>1036</v>
      </c>
      <c r="D51" t="s">
        <v>32</v>
      </c>
      <c r="E51">
        <v>89.21</v>
      </c>
      <c r="F51">
        <v>9</v>
      </c>
      <c r="G51">
        <v>40.144500000000001</v>
      </c>
      <c r="H51" s="5">
        <v>843.03449999999998</v>
      </c>
      <c r="I51" s="1">
        <v>43480</v>
      </c>
      <c r="J51" s="1">
        <v>0.65416666666666667</v>
      </c>
      <c r="K51" s="8" t="s">
        <v>33</v>
      </c>
      <c r="L51">
        <v>802.89</v>
      </c>
      <c r="M51">
        <v>40.144500000000001</v>
      </c>
      <c r="N51">
        <v>6.5</v>
      </c>
    </row>
    <row r="52" spans="1:14">
      <c r="A52" t="s">
        <v>480</v>
      </c>
      <c r="B52" s="8" t="s">
        <v>27</v>
      </c>
      <c r="C52" s="8" t="s">
        <v>1036</v>
      </c>
      <c r="D52" t="s">
        <v>36</v>
      </c>
      <c r="E52">
        <v>19.100000000000001</v>
      </c>
      <c r="F52">
        <v>7</v>
      </c>
      <c r="G52">
        <v>6.6849999999999996</v>
      </c>
      <c r="H52" s="5">
        <v>140.38499999999999</v>
      </c>
      <c r="I52" s="1">
        <v>43480</v>
      </c>
      <c r="J52" s="1">
        <v>0.4465277777777778</v>
      </c>
      <c r="K52" s="8" t="s">
        <v>29</v>
      </c>
      <c r="L52">
        <v>133.69999999999999</v>
      </c>
      <c r="M52">
        <v>6.6849999999999996</v>
      </c>
      <c r="N52">
        <v>9.6999999999999993</v>
      </c>
    </row>
    <row r="53" spans="1:14">
      <c r="A53" t="s">
        <v>73</v>
      </c>
      <c r="B53" s="8" t="s">
        <v>27</v>
      </c>
      <c r="C53" s="8" t="s">
        <v>1036</v>
      </c>
      <c r="D53" t="s">
        <v>28</v>
      </c>
      <c r="E53">
        <v>60.88</v>
      </c>
      <c r="F53">
        <v>9</v>
      </c>
      <c r="G53">
        <v>27.396000000000001</v>
      </c>
      <c r="H53" s="5">
        <v>575.31600000000003</v>
      </c>
      <c r="I53" s="1">
        <v>43480</v>
      </c>
      <c r="J53" s="1">
        <v>0.72013888888888888</v>
      </c>
      <c r="K53" s="8" t="s">
        <v>23</v>
      </c>
      <c r="L53">
        <v>547.91999999999996</v>
      </c>
      <c r="M53">
        <v>27.396000000000001</v>
      </c>
      <c r="N53">
        <v>4.7</v>
      </c>
    </row>
    <row r="54" spans="1:14">
      <c r="A54" t="s">
        <v>805</v>
      </c>
      <c r="B54" s="8" t="s">
        <v>27</v>
      </c>
      <c r="C54" s="8" t="s">
        <v>1036</v>
      </c>
      <c r="D54" t="s">
        <v>32</v>
      </c>
      <c r="E54">
        <v>11.43</v>
      </c>
      <c r="F54">
        <v>6</v>
      </c>
      <c r="G54">
        <v>3.4289999999999998</v>
      </c>
      <c r="H54" s="5">
        <v>72.009</v>
      </c>
      <c r="I54" s="1">
        <v>43480</v>
      </c>
      <c r="J54" s="1">
        <v>0.72499999999999998</v>
      </c>
      <c r="K54" s="8" t="s">
        <v>29</v>
      </c>
      <c r="L54">
        <v>68.58</v>
      </c>
      <c r="M54">
        <v>3.4289999999999998</v>
      </c>
      <c r="N54">
        <v>7.7</v>
      </c>
    </row>
    <row r="55" spans="1:14">
      <c r="A55" t="s">
        <v>723</v>
      </c>
      <c r="B55" s="8" t="s">
        <v>20</v>
      </c>
      <c r="C55" s="8" t="s">
        <v>1037</v>
      </c>
      <c r="D55" t="s">
        <v>32</v>
      </c>
      <c r="E55">
        <v>63.56</v>
      </c>
      <c r="F55">
        <v>10</v>
      </c>
      <c r="G55">
        <v>31.78</v>
      </c>
      <c r="H55" s="5">
        <v>667.38</v>
      </c>
      <c r="I55" s="1">
        <v>43481</v>
      </c>
      <c r="J55" s="1">
        <v>0.74930555555555556</v>
      </c>
      <c r="K55" s="8" t="s">
        <v>29</v>
      </c>
      <c r="L55">
        <v>635.6</v>
      </c>
      <c r="M55">
        <v>31.78</v>
      </c>
      <c r="N55">
        <v>4.3</v>
      </c>
    </row>
    <row r="56" spans="1:14">
      <c r="A56" t="s">
        <v>842</v>
      </c>
      <c r="B56" s="8" t="s">
        <v>27</v>
      </c>
      <c r="C56" s="8" t="s">
        <v>1036</v>
      </c>
      <c r="D56" t="s">
        <v>36</v>
      </c>
      <c r="E56">
        <v>93.18</v>
      </c>
      <c r="F56">
        <v>2</v>
      </c>
      <c r="G56">
        <v>9.3179999999999996</v>
      </c>
      <c r="H56" s="5">
        <v>195.678</v>
      </c>
      <c r="I56" s="1">
        <v>43481</v>
      </c>
      <c r="J56" s="1">
        <v>0.77847222222222223</v>
      </c>
      <c r="K56" s="8" t="s">
        <v>33</v>
      </c>
      <c r="L56">
        <v>186.36</v>
      </c>
      <c r="M56">
        <v>9.3179999999999996</v>
      </c>
      <c r="N56">
        <v>8.5</v>
      </c>
    </row>
    <row r="57" spans="1:14">
      <c r="A57" t="s">
        <v>601</v>
      </c>
      <c r="B57" s="8" t="s">
        <v>27</v>
      </c>
      <c r="C57" s="8" t="s">
        <v>1036</v>
      </c>
      <c r="D57" t="s">
        <v>44</v>
      </c>
      <c r="E57">
        <v>81.209999999999994</v>
      </c>
      <c r="F57">
        <v>10</v>
      </c>
      <c r="G57">
        <v>40.604999999999997</v>
      </c>
      <c r="H57" s="5">
        <v>852.70500000000004</v>
      </c>
      <c r="I57" s="1">
        <v>43482</v>
      </c>
      <c r="J57" s="1">
        <v>0.54236111111111107</v>
      </c>
      <c r="K57" s="8" t="s">
        <v>33</v>
      </c>
      <c r="L57">
        <v>812.1</v>
      </c>
      <c r="M57">
        <v>40.604999999999997</v>
      </c>
      <c r="N57">
        <v>6.3</v>
      </c>
    </row>
    <row r="58" spans="1:14">
      <c r="A58" t="s">
        <v>825</v>
      </c>
      <c r="B58" s="8" t="s">
        <v>27</v>
      </c>
      <c r="C58" s="8" t="s">
        <v>1037</v>
      </c>
      <c r="D58" t="s">
        <v>36</v>
      </c>
      <c r="E58">
        <v>58.91</v>
      </c>
      <c r="F58">
        <v>7</v>
      </c>
      <c r="G58">
        <v>20.618500000000001</v>
      </c>
      <c r="H58" s="5">
        <v>432.98849999999999</v>
      </c>
      <c r="I58" s="1">
        <v>43482</v>
      </c>
      <c r="J58" s="1">
        <v>0.63541666666666663</v>
      </c>
      <c r="K58" s="8" t="s">
        <v>23</v>
      </c>
      <c r="L58">
        <v>412.37</v>
      </c>
      <c r="M58">
        <v>20.618500000000001</v>
      </c>
      <c r="N58">
        <v>9.6999999999999993</v>
      </c>
    </row>
    <row r="59" spans="1:14">
      <c r="A59" t="s">
        <v>360</v>
      </c>
      <c r="B59" s="8" t="s">
        <v>27</v>
      </c>
      <c r="C59" s="8" t="s">
        <v>1037</v>
      </c>
      <c r="D59" t="s">
        <v>32</v>
      </c>
      <c r="E59">
        <v>21.52</v>
      </c>
      <c r="F59">
        <v>6</v>
      </c>
      <c r="G59">
        <v>6.4560000000000004</v>
      </c>
      <c r="H59" s="5">
        <v>135.57599999999999</v>
      </c>
      <c r="I59" s="1">
        <v>43482</v>
      </c>
      <c r="J59" s="1">
        <v>0.53333333333333333</v>
      </c>
      <c r="K59" s="8" t="s">
        <v>33</v>
      </c>
      <c r="L59">
        <v>129.12</v>
      </c>
      <c r="M59">
        <v>6.4560000000000004</v>
      </c>
      <c r="N59">
        <v>9.4</v>
      </c>
    </row>
    <row r="60" spans="1:14">
      <c r="A60" t="s">
        <v>745</v>
      </c>
      <c r="B60" s="8" t="s">
        <v>27</v>
      </c>
      <c r="C60" s="8" t="s">
        <v>1037</v>
      </c>
      <c r="D60" t="s">
        <v>36</v>
      </c>
      <c r="E60">
        <v>25.7</v>
      </c>
      <c r="F60">
        <v>3</v>
      </c>
      <c r="G60">
        <v>3.855</v>
      </c>
      <c r="H60" s="5">
        <v>80.954999999999998</v>
      </c>
      <c r="I60" s="1">
        <v>43482</v>
      </c>
      <c r="J60" s="1">
        <v>0.74930555555555556</v>
      </c>
      <c r="K60" s="8" t="s">
        <v>23</v>
      </c>
      <c r="L60">
        <v>77.099999999999994</v>
      </c>
      <c r="M60">
        <v>3.855</v>
      </c>
      <c r="N60">
        <v>6.1</v>
      </c>
    </row>
    <row r="61" spans="1:14">
      <c r="A61" t="s">
        <v>172</v>
      </c>
      <c r="B61" s="8" t="s">
        <v>27</v>
      </c>
      <c r="C61" s="8" t="s">
        <v>1036</v>
      </c>
      <c r="D61" t="s">
        <v>28</v>
      </c>
      <c r="E61">
        <v>26.31</v>
      </c>
      <c r="F61">
        <v>5</v>
      </c>
      <c r="G61">
        <v>6.5774999999999997</v>
      </c>
      <c r="H61" s="5">
        <v>138.1275</v>
      </c>
      <c r="I61" s="1">
        <v>43483</v>
      </c>
      <c r="J61" s="1">
        <v>0.87430555555555556</v>
      </c>
      <c r="K61" s="8" t="s">
        <v>33</v>
      </c>
      <c r="L61">
        <v>131.55000000000001</v>
      </c>
      <c r="M61">
        <v>6.5774999999999997</v>
      </c>
      <c r="N61">
        <v>8.8000000000000007</v>
      </c>
    </row>
    <row r="62" spans="1:14">
      <c r="A62" t="s">
        <v>909</v>
      </c>
      <c r="B62" s="8" t="s">
        <v>20</v>
      </c>
      <c r="C62" s="8" t="s">
        <v>1037</v>
      </c>
      <c r="D62" t="s">
        <v>36</v>
      </c>
      <c r="E62">
        <v>89.06</v>
      </c>
      <c r="F62">
        <v>6</v>
      </c>
      <c r="G62">
        <v>26.718</v>
      </c>
      <c r="H62" s="5">
        <v>561.07799999999997</v>
      </c>
      <c r="I62" s="1">
        <v>43483</v>
      </c>
      <c r="J62" s="1">
        <v>0.72638888888888886</v>
      </c>
      <c r="K62" s="8" t="s">
        <v>29</v>
      </c>
      <c r="L62">
        <v>534.36</v>
      </c>
      <c r="M62">
        <v>26.718</v>
      </c>
      <c r="N62">
        <v>9.9</v>
      </c>
    </row>
    <row r="63" spans="1:14">
      <c r="A63" t="s">
        <v>693</v>
      </c>
      <c r="B63" s="8" t="s">
        <v>20</v>
      </c>
      <c r="C63" s="8" t="s">
        <v>1036</v>
      </c>
      <c r="D63" t="s">
        <v>46</v>
      </c>
      <c r="E63">
        <v>88.15</v>
      </c>
      <c r="F63">
        <v>3</v>
      </c>
      <c r="G63">
        <v>13.2225</v>
      </c>
      <c r="H63" s="5">
        <v>277.67250000000001</v>
      </c>
      <c r="I63" s="1">
        <v>43483</v>
      </c>
      <c r="J63" s="1">
        <v>0.42430555555555555</v>
      </c>
      <c r="K63" s="8" t="s">
        <v>23</v>
      </c>
      <c r="L63">
        <v>264.45</v>
      </c>
      <c r="M63">
        <v>13.2225</v>
      </c>
      <c r="N63">
        <v>7.9</v>
      </c>
    </row>
    <row r="64" spans="1:14">
      <c r="A64" t="s">
        <v>681</v>
      </c>
      <c r="B64" s="8" t="s">
        <v>20</v>
      </c>
      <c r="C64" s="8" t="s">
        <v>1037</v>
      </c>
      <c r="D64" t="s">
        <v>32</v>
      </c>
      <c r="E64">
        <v>19.36</v>
      </c>
      <c r="F64">
        <v>9</v>
      </c>
      <c r="G64">
        <v>8.7119999999999997</v>
      </c>
      <c r="H64" s="5">
        <v>182.952</v>
      </c>
      <c r="I64" s="1">
        <v>43483</v>
      </c>
      <c r="J64" s="1">
        <v>0.77986111111111112</v>
      </c>
      <c r="K64" s="8" t="s">
        <v>23</v>
      </c>
      <c r="L64">
        <v>174.24</v>
      </c>
      <c r="M64">
        <v>8.7119999999999997</v>
      </c>
      <c r="N64">
        <v>8.6999999999999993</v>
      </c>
    </row>
    <row r="65" spans="1:14">
      <c r="A65" t="s">
        <v>978</v>
      </c>
      <c r="B65" s="8" t="s">
        <v>27</v>
      </c>
      <c r="C65" s="8" t="s">
        <v>1036</v>
      </c>
      <c r="D65" t="s">
        <v>32</v>
      </c>
      <c r="E65">
        <v>45.68</v>
      </c>
      <c r="F65">
        <v>10</v>
      </c>
      <c r="G65">
        <v>22.84</v>
      </c>
      <c r="H65" s="5">
        <v>479.64</v>
      </c>
      <c r="I65" s="1">
        <v>43484</v>
      </c>
      <c r="J65" s="1">
        <v>0.8125</v>
      </c>
      <c r="K65" s="8" t="s">
        <v>23</v>
      </c>
      <c r="L65">
        <v>456.8</v>
      </c>
      <c r="M65">
        <v>22.84</v>
      </c>
      <c r="N65">
        <v>5.7</v>
      </c>
    </row>
    <row r="66" spans="1:14">
      <c r="A66" t="s">
        <v>204</v>
      </c>
      <c r="B66" s="8" t="s">
        <v>27</v>
      </c>
      <c r="C66" s="8" t="s">
        <v>1037</v>
      </c>
      <c r="D66" t="s">
        <v>44</v>
      </c>
      <c r="E66">
        <v>51.28</v>
      </c>
      <c r="F66">
        <v>6</v>
      </c>
      <c r="G66">
        <v>15.384</v>
      </c>
      <c r="H66" s="5">
        <v>323.06400000000002</v>
      </c>
      <c r="I66" s="1">
        <v>43484</v>
      </c>
      <c r="J66" s="1">
        <v>0.68819444444444444</v>
      </c>
      <c r="K66" s="8" t="s">
        <v>29</v>
      </c>
      <c r="L66">
        <v>307.68</v>
      </c>
      <c r="M66">
        <v>15.384</v>
      </c>
      <c r="N66">
        <v>6.5</v>
      </c>
    </row>
    <row r="67" spans="1:14">
      <c r="A67" t="s">
        <v>149</v>
      </c>
      <c r="B67" s="8" t="s">
        <v>20</v>
      </c>
      <c r="C67" s="8" t="s">
        <v>1037</v>
      </c>
      <c r="D67" t="s">
        <v>32</v>
      </c>
      <c r="E67">
        <v>58.07</v>
      </c>
      <c r="F67">
        <v>9</v>
      </c>
      <c r="G67">
        <v>26.131499999999999</v>
      </c>
      <c r="H67" s="5">
        <v>548.76149999999996</v>
      </c>
      <c r="I67" s="1">
        <v>43484</v>
      </c>
      <c r="J67" s="1">
        <v>0.83819444444444446</v>
      </c>
      <c r="K67" s="8" t="s">
        <v>23</v>
      </c>
      <c r="L67">
        <v>522.63</v>
      </c>
      <c r="M67">
        <v>26.131499999999999</v>
      </c>
      <c r="N67">
        <v>4.3</v>
      </c>
    </row>
    <row r="68" spans="1:14">
      <c r="A68" t="s">
        <v>666</v>
      </c>
      <c r="B68" s="8" t="s">
        <v>27</v>
      </c>
      <c r="C68" s="8" t="s">
        <v>1037</v>
      </c>
      <c r="D68" t="s">
        <v>36</v>
      </c>
      <c r="E68">
        <v>64.19</v>
      </c>
      <c r="F68">
        <v>10</v>
      </c>
      <c r="G68">
        <v>32.094999999999999</v>
      </c>
      <c r="H68" s="5">
        <v>673.995</v>
      </c>
      <c r="I68" s="1">
        <v>43484</v>
      </c>
      <c r="J68" s="1">
        <v>0.58888888888888891</v>
      </c>
      <c r="K68" s="8" t="s">
        <v>33</v>
      </c>
      <c r="L68">
        <v>641.9</v>
      </c>
      <c r="M68">
        <v>32.094999999999999</v>
      </c>
      <c r="N68">
        <v>6.7</v>
      </c>
    </row>
    <row r="69" spans="1:14">
      <c r="A69" t="s">
        <v>885</v>
      </c>
      <c r="B69" s="8" t="s">
        <v>27</v>
      </c>
      <c r="C69" s="8" t="s">
        <v>1036</v>
      </c>
      <c r="D69" t="s">
        <v>46</v>
      </c>
      <c r="E69">
        <v>99.1</v>
      </c>
      <c r="F69">
        <v>6</v>
      </c>
      <c r="G69">
        <v>29.73</v>
      </c>
      <c r="H69" s="5">
        <v>624.33000000000004</v>
      </c>
      <c r="I69" s="1">
        <v>43484</v>
      </c>
      <c r="J69" s="1">
        <v>0.5493055555555556</v>
      </c>
      <c r="K69" s="8" t="s">
        <v>29</v>
      </c>
      <c r="L69">
        <v>594.6</v>
      </c>
      <c r="M69">
        <v>29.73</v>
      </c>
      <c r="N69">
        <v>4.2</v>
      </c>
    </row>
    <row r="70" spans="1:14">
      <c r="A70" t="s">
        <v>853</v>
      </c>
      <c r="B70" s="8" t="s">
        <v>27</v>
      </c>
      <c r="C70" s="8" t="s">
        <v>1037</v>
      </c>
      <c r="D70" t="s">
        <v>44</v>
      </c>
      <c r="E70">
        <v>33.880000000000003</v>
      </c>
      <c r="F70">
        <v>8</v>
      </c>
      <c r="G70">
        <v>13.552</v>
      </c>
      <c r="H70" s="5">
        <v>284.59199999999998</v>
      </c>
      <c r="I70" s="1">
        <v>43484</v>
      </c>
      <c r="J70" s="1">
        <v>0.85347222222222219</v>
      </c>
      <c r="K70" s="8" t="s">
        <v>23</v>
      </c>
      <c r="L70">
        <v>271.04000000000002</v>
      </c>
      <c r="M70">
        <v>13.552</v>
      </c>
      <c r="N70">
        <v>9.6</v>
      </c>
    </row>
    <row r="71" spans="1:14">
      <c r="A71" t="s">
        <v>753</v>
      </c>
      <c r="B71" s="8" t="s">
        <v>20</v>
      </c>
      <c r="C71" s="8" t="s">
        <v>1037</v>
      </c>
      <c r="D71" t="s">
        <v>28</v>
      </c>
      <c r="E71">
        <v>11.94</v>
      </c>
      <c r="F71">
        <v>3</v>
      </c>
      <c r="G71">
        <v>1.7909999999999999</v>
      </c>
      <c r="H71" s="5">
        <v>37.610999999999997</v>
      </c>
      <c r="I71" s="1">
        <v>43484</v>
      </c>
      <c r="J71" s="1">
        <v>0.53263888888888888</v>
      </c>
      <c r="K71" s="8" t="s">
        <v>33</v>
      </c>
      <c r="L71">
        <v>35.82</v>
      </c>
      <c r="M71">
        <v>1.7909999999999999</v>
      </c>
      <c r="N71">
        <v>8.1</v>
      </c>
    </row>
    <row r="72" spans="1:14">
      <c r="A72" t="s">
        <v>441</v>
      </c>
      <c r="B72" s="8" t="s">
        <v>20</v>
      </c>
      <c r="C72" s="8" t="s">
        <v>1037</v>
      </c>
      <c r="D72" t="s">
        <v>36</v>
      </c>
      <c r="E72">
        <v>67.260000000000005</v>
      </c>
      <c r="F72">
        <v>4</v>
      </c>
      <c r="G72">
        <v>13.452</v>
      </c>
      <c r="H72" s="5">
        <v>282.49200000000002</v>
      </c>
      <c r="I72" s="1">
        <v>43484</v>
      </c>
      <c r="J72" s="1">
        <v>0.64444444444444449</v>
      </c>
      <c r="K72" s="8" t="s">
        <v>33</v>
      </c>
      <c r="L72">
        <v>269.04000000000002</v>
      </c>
      <c r="M72">
        <v>13.452</v>
      </c>
      <c r="N72">
        <v>8</v>
      </c>
    </row>
    <row r="73" spans="1:14">
      <c r="A73" t="s">
        <v>271</v>
      </c>
      <c r="B73" s="8" t="s">
        <v>27</v>
      </c>
      <c r="C73" s="8" t="s">
        <v>1036</v>
      </c>
      <c r="D73" t="s">
        <v>36</v>
      </c>
      <c r="E73">
        <v>93.14</v>
      </c>
      <c r="F73">
        <v>2</v>
      </c>
      <c r="G73">
        <v>9.3140000000000001</v>
      </c>
      <c r="H73" s="5">
        <v>195.59399999999999</v>
      </c>
      <c r="I73" s="1">
        <v>43485</v>
      </c>
      <c r="J73" s="1">
        <v>0.75624999999999998</v>
      </c>
      <c r="K73" s="8" t="s">
        <v>23</v>
      </c>
      <c r="L73">
        <v>186.28</v>
      </c>
      <c r="M73">
        <v>9.3140000000000001</v>
      </c>
      <c r="N73">
        <v>4.0999999999999996</v>
      </c>
    </row>
    <row r="74" spans="1:14">
      <c r="A74" t="s">
        <v>800</v>
      </c>
      <c r="B74" s="8" t="s">
        <v>20</v>
      </c>
      <c r="C74" s="8" t="s">
        <v>1037</v>
      </c>
      <c r="D74" t="s">
        <v>22</v>
      </c>
      <c r="E74">
        <v>55.5</v>
      </c>
      <c r="F74">
        <v>4</v>
      </c>
      <c r="G74">
        <v>11.1</v>
      </c>
      <c r="H74" s="5">
        <v>233.1</v>
      </c>
      <c r="I74" s="1">
        <v>43485</v>
      </c>
      <c r="J74" s="1">
        <v>0.65833333333333333</v>
      </c>
      <c r="K74" s="8" t="s">
        <v>33</v>
      </c>
      <c r="L74">
        <v>222</v>
      </c>
      <c r="M74">
        <v>11.1</v>
      </c>
      <c r="N74">
        <v>6.6</v>
      </c>
    </row>
    <row r="75" spans="1:14">
      <c r="A75" t="s">
        <v>798</v>
      </c>
      <c r="B75" s="8" t="s">
        <v>20</v>
      </c>
      <c r="C75" s="8" t="s">
        <v>1036</v>
      </c>
      <c r="D75" t="s">
        <v>46</v>
      </c>
      <c r="E75">
        <v>63.88</v>
      </c>
      <c r="F75">
        <v>8</v>
      </c>
      <c r="G75">
        <v>25.552</v>
      </c>
      <c r="H75" s="5">
        <v>536.59199999999998</v>
      </c>
      <c r="I75" s="1">
        <v>43485</v>
      </c>
      <c r="J75" s="1">
        <v>0.7416666666666667</v>
      </c>
      <c r="K75" s="8" t="s">
        <v>23</v>
      </c>
      <c r="L75">
        <v>511.04</v>
      </c>
      <c r="M75">
        <v>25.552</v>
      </c>
      <c r="N75">
        <v>9.9</v>
      </c>
    </row>
    <row r="76" spans="1:14">
      <c r="A76" t="s">
        <v>94</v>
      </c>
      <c r="B76" s="8" t="s">
        <v>20</v>
      </c>
      <c r="C76" s="8" t="s">
        <v>1036</v>
      </c>
      <c r="D76" t="s">
        <v>32</v>
      </c>
      <c r="E76">
        <v>72.349999999999994</v>
      </c>
      <c r="F76">
        <v>10</v>
      </c>
      <c r="G76">
        <v>36.174999999999997</v>
      </c>
      <c r="H76" s="5">
        <v>759.67499999999995</v>
      </c>
      <c r="I76" s="1">
        <v>43485</v>
      </c>
      <c r="J76" s="1">
        <v>0.66319444444444442</v>
      </c>
      <c r="K76" s="8" t="s">
        <v>29</v>
      </c>
      <c r="L76">
        <v>723.5</v>
      </c>
      <c r="M76">
        <v>36.174999999999997</v>
      </c>
      <c r="N76">
        <v>5.4</v>
      </c>
    </row>
    <row r="77" spans="1:14">
      <c r="A77" t="s">
        <v>180</v>
      </c>
      <c r="B77" s="8" t="s">
        <v>27</v>
      </c>
      <c r="C77" s="8" t="s">
        <v>1036</v>
      </c>
      <c r="D77" t="s">
        <v>32</v>
      </c>
      <c r="E77">
        <v>77.95</v>
      </c>
      <c r="F77">
        <v>6</v>
      </c>
      <c r="G77">
        <v>23.385000000000002</v>
      </c>
      <c r="H77" s="5">
        <v>491.08499999999998</v>
      </c>
      <c r="I77" s="1">
        <v>43486</v>
      </c>
      <c r="J77" s="1">
        <v>0.69236111111111109</v>
      </c>
      <c r="K77" s="8" t="s">
        <v>23</v>
      </c>
      <c r="L77">
        <v>467.7</v>
      </c>
      <c r="M77">
        <v>23.385000000000002</v>
      </c>
      <c r="N77">
        <v>8</v>
      </c>
    </row>
    <row r="78" spans="1:14">
      <c r="A78" t="s">
        <v>329</v>
      </c>
      <c r="B78" s="8" t="s">
        <v>20</v>
      </c>
      <c r="C78" s="8" t="s">
        <v>1036</v>
      </c>
      <c r="D78" t="s">
        <v>44</v>
      </c>
      <c r="E78">
        <v>36.36</v>
      </c>
      <c r="F78">
        <v>2</v>
      </c>
      <c r="G78">
        <v>3.6360000000000001</v>
      </c>
      <c r="H78" s="5">
        <v>76.355999999999995</v>
      </c>
      <c r="I78" s="1">
        <v>43486</v>
      </c>
      <c r="J78" s="1">
        <v>0.41666666666666669</v>
      </c>
      <c r="K78" s="8" t="s">
        <v>29</v>
      </c>
      <c r="L78">
        <v>72.72</v>
      </c>
      <c r="M78">
        <v>3.6360000000000001</v>
      </c>
      <c r="N78">
        <v>7.1</v>
      </c>
    </row>
    <row r="79" spans="1:14">
      <c r="A79" t="s">
        <v>462</v>
      </c>
      <c r="B79" s="8" t="s">
        <v>20</v>
      </c>
      <c r="C79" s="8" t="s">
        <v>1037</v>
      </c>
      <c r="D79" t="s">
        <v>22</v>
      </c>
      <c r="E79">
        <v>53.17</v>
      </c>
      <c r="F79">
        <v>7</v>
      </c>
      <c r="G79">
        <v>18.609500000000001</v>
      </c>
      <c r="H79" s="5">
        <v>390.79950000000002</v>
      </c>
      <c r="I79" s="1">
        <v>43486</v>
      </c>
      <c r="J79" s="1">
        <v>0.75069444444444444</v>
      </c>
      <c r="K79" s="8" t="s">
        <v>29</v>
      </c>
      <c r="L79">
        <v>372.19</v>
      </c>
      <c r="M79">
        <v>18.609500000000001</v>
      </c>
      <c r="N79">
        <v>8.9</v>
      </c>
    </row>
    <row r="80" spans="1:14">
      <c r="A80" t="s">
        <v>399</v>
      </c>
      <c r="B80" s="8" t="s">
        <v>27</v>
      </c>
      <c r="C80" s="8" t="s">
        <v>1037</v>
      </c>
      <c r="D80" t="s">
        <v>32</v>
      </c>
      <c r="E80">
        <v>73.22</v>
      </c>
      <c r="F80">
        <v>6</v>
      </c>
      <c r="G80">
        <v>21.966000000000001</v>
      </c>
      <c r="H80" s="5">
        <v>461.286</v>
      </c>
      <c r="I80" s="1">
        <v>43486</v>
      </c>
      <c r="J80" s="1">
        <v>0.73888888888888893</v>
      </c>
      <c r="K80" s="8" t="s">
        <v>29</v>
      </c>
      <c r="L80">
        <v>439.32</v>
      </c>
      <c r="M80">
        <v>21.966000000000001</v>
      </c>
      <c r="N80">
        <v>7.2</v>
      </c>
    </row>
    <row r="81" spans="1:14">
      <c r="A81" t="s">
        <v>54</v>
      </c>
      <c r="B81" s="8" t="s">
        <v>27</v>
      </c>
      <c r="C81" s="8" t="s">
        <v>1037</v>
      </c>
      <c r="D81" t="s">
        <v>44</v>
      </c>
      <c r="E81">
        <v>54.67</v>
      </c>
      <c r="F81">
        <v>3</v>
      </c>
      <c r="G81">
        <v>8.2004999999999999</v>
      </c>
      <c r="H81" s="5">
        <v>172.2105</v>
      </c>
      <c r="I81" s="1">
        <v>43486</v>
      </c>
      <c r="J81" s="1">
        <v>0.75</v>
      </c>
      <c r="K81" s="8" t="s">
        <v>33</v>
      </c>
      <c r="L81">
        <v>164.01</v>
      </c>
      <c r="M81">
        <v>8.2004999999999999</v>
      </c>
      <c r="N81">
        <v>8.6</v>
      </c>
    </row>
    <row r="82" spans="1:14">
      <c r="A82" t="s">
        <v>576</v>
      </c>
      <c r="B82" s="8" t="s">
        <v>27</v>
      </c>
      <c r="C82" s="8" t="s">
        <v>1037</v>
      </c>
      <c r="D82" t="s">
        <v>32</v>
      </c>
      <c r="E82">
        <v>30.68</v>
      </c>
      <c r="F82">
        <v>3</v>
      </c>
      <c r="G82">
        <v>4.6020000000000003</v>
      </c>
      <c r="H82" s="5">
        <v>96.641999999999996</v>
      </c>
      <c r="I82" s="1">
        <v>43487</v>
      </c>
      <c r="J82" s="1">
        <v>0.45833333333333331</v>
      </c>
      <c r="K82" s="8" t="s">
        <v>23</v>
      </c>
      <c r="L82">
        <v>92.04</v>
      </c>
      <c r="M82">
        <v>4.6020000000000003</v>
      </c>
      <c r="N82">
        <v>9.1</v>
      </c>
    </row>
    <row r="83" spans="1:14">
      <c r="A83" t="s">
        <v>110</v>
      </c>
      <c r="B83" s="8" t="s">
        <v>27</v>
      </c>
      <c r="C83" s="8" t="s">
        <v>1037</v>
      </c>
      <c r="D83" t="s">
        <v>32</v>
      </c>
      <c r="E83">
        <v>74.67</v>
      </c>
      <c r="F83">
        <v>9</v>
      </c>
      <c r="G83">
        <v>33.601500000000001</v>
      </c>
      <c r="H83" s="5">
        <v>705.63149999999996</v>
      </c>
      <c r="I83" s="1">
        <v>43487</v>
      </c>
      <c r="J83" s="1">
        <v>0.4548611111111111</v>
      </c>
      <c r="K83" s="8" t="s">
        <v>23</v>
      </c>
      <c r="L83">
        <v>672.03</v>
      </c>
      <c r="M83">
        <v>33.601500000000001</v>
      </c>
      <c r="N83">
        <v>9.4</v>
      </c>
    </row>
    <row r="84" spans="1:14">
      <c r="A84" t="s">
        <v>895</v>
      </c>
      <c r="B84" s="8" t="s">
        <v>20</v>
      </c>
      <c r="C84" s="8" t="s">
        <v>1036</v>
      </c>
      <c r="D84" t="s">
        <v>44</v>
      </c>
      <c r="E84">
        <v>47.63</v>
      </c>
      <c r="F84">
        <v>9</v>
      </c>
      <c r="G84">
        <v>21.433499999999999</v>
      </c>
      <c r="H84" s="5">
        <v>450.1035</v>
      </c>
      <c r="I84" s="1">
        <v>43488</v>
      </c>
      <c r="J84" s="1">
        <v>0.52430555555555558</v>
      </c>
      <c r="K84" s="8" t="s">
        <v>29</v>
      </c>
      <c r="L84">
        <v>428.67</v>
      </c>
      <c r="M84">
        <v>21.433499999999999</v>
      </c>
      <c r="N84">
        <v>5</v>
      </c>
    </row>
    <row r="85" spans="1:14">
      <c r="A85" t="s">
        <v>890</v>
      </c>
      <c r="B85" s="8" t="s">
        <v>20</v>
      </c>
      <c r="C85" s="8" t="s">
        <v>1036</v>
      </c>
      <c r="D85" t="s">
        <v>22</v>
      </c>
      <c r="E85">
        <v>95.95</v>
      </c>
      <c r="F85">
        <v>5</v>
      </c>
      <c r="G85">
        <v>23.987500000000001</v>
      </c>
      <c r="H85" s="5">
        <v>503.73750000000001</v>
      </c>
      <c r="I85" s="1">
        <v>43488</v>
      </c>
      <c r="J85" s="1">
        <v>0.59791666666666665</v>
      </c>
      <c r="K85" s="8" t="s">
        <v>23</v>
      </c>
      <c r="L85">
        <v>479.75</v>
      </c>
      <c r="M85">
        <v>23.987500000000001</v>
      </c>
      <c r="N85">
        <v>8.8000000000000007</v>
      </c>
    </row>
    <row r="86" spans="1:14">
      <c r="A86" t="s">
        <v>1017</v>
      </c>
      <c r="B86" s="8" t="s">
        <v>27</v>
      </c>
      <c r="C86" s="8" t="s">
        <v>1037</v>
      </c>
      <c r="D86" t="s">
        <v>22</v>
      </c>
      <c r="E86">
        <v>58.15</v>
      </c>
      <c r="F86">
        <v>4</v>
      </c>
      <c r="G86">
        <v>11.63</v>
      </c>
      <c r="H86" s="5">
        <v>244.23</v>
      </c>
      <c r="I86" s="1">
        <v>43488</v>
      </c>
      <c r="J86" s="1">
        <v>0.73888888888888893</v>
      </c>
      <c r="K86" s="8" t="s">
        <v>29</v>
      </c>
      <c r="L86">
        <v>232.6</v>
      </c>
      <c r="M86">
        <v>11.63</v>
      </c>
      <c r="N86">
        <v>8.4</v>
      </c>
    </row>
    <row r="87" spans="1:14">
      <c r="A87" t="s">
        <v>654</v>
      </c>
      <c r="B87" s="8" t="s">
        <v>20</v>
      </c>
      <c r="C87" s="8" t="s">
        <v>1037</v>
      </c>
      <c r="D87" t="s">
        <v>44</v>
      </c>
      <c r="E87">
        <v>98.53</v>
      </c>
      <c r="F87">
        <v>6</v>
      </c>
      <c r="G87">
        <v>29.559000000000001</v>
      </c>
      <c r="H87" s="5">
        <v>620.73900000000003</v>
      </c>
      <c r="I87" s="1">
        <v>43488</v>
      </c>
      <c r="J87" s="1">
        <v>0.47361111111111109</v>
      </c>
      <c r="K87" s="8" t="s">
        <v>33</v>
      </c>
      <c r="L87">
        <v>591.17999999999995</v>
      </c>
      <c r="M87">
        <v>29.559000000000001</v>
      </c>
      <c r="N87">
        <v>4</v>
      </c>
    </row>
    <row r="88" spans="1:14">
      <c r="A88" t="s">
        <v>644</v>
      </c>
      <c r="B88" s="8" t="s">
        <v>27</v>
      </c>
      <c r="C88" s="8" t="s">
        <v>1037</v>
      </c>
      <c r="D88" t="s">
        <v>46</v>
      </c>
      <c r="E88">
        <v>30.61</v>
      </c>
      <c r="F88">
        <v>1</v>
      </c>
      <c r="G88">
        <v>1.5305</v>
      </c>
      <c r="H88" s="5">
        <v>32.140500000000003</v>
      </c>
      <c r="I88" s="1">
        <v>43488</v>
      </c>
      <c r="J88" s="1">
        <v>0.51388888888888884</v>
      </c>
      <c r="K88" s="8" t="s">
        <v>23</v>
      </c>
      <c r="L88">
        <v>30.61</v>
      </c>
      <c r="M88">
        <v>1.5305</v>
      </c>
      <c r="N88">
        <v>5.2</v>
      </c>
    </row>
    <row r="89" spans="1:14">
      <c r="A89" t="s">
        <v>585</v>
      </c>
      <c r="B89" s="8" t="s">
        <v>27</v>
      </c>
      <c r="C89" s="8" t="s">
        <v>1036</v>
      </c>
      <c r="D89" t="s">
        <v>28</v>
      </c>
      <c r="E89">
        <v>66.06</v>
      </c>
      <c r="F89">
        <v>6</v>
      </c>
      <c r="G89">
        <v>19.818000000000001</v>
      </c>
      <c r="H89" s="5">
        <v>416.178</v>
      </c>
      <c r="I89" s="1">
        <v>43488</v>
      </c>
      <c r="J89" s="1">
        <v>0.43611111111111112</v>
      </c>
      <c r="K89" s="8" t="s">
        <v>29</v>
      </c>
      <c r="L89">
        <v>396.36</v>
      </c>
      <c r="M89">
        <v>19.818000000000001</v>
      </c>
      <c r="N89">
        <v>7.3</v>
      </c>
    </row>
    <row r="90" spans="1:14">
      <c r="A90" t="s">
        <v>283</v>
      </c>
      <c r="B90" s="8" t="s">
        <v>20</v>
      </c>
      <c r="C90" s="8" t="s">
        <v>1037</v>
      </c>
      <c r="D90" t="s">
        <v>46</v>
      </c>
      <c r="E90">
        <v>17.940000000000001</v>
      </c>
      <c r="F90">
        <v>5</v>
      </c>
      <c r="G90">
        <v>4.4850000000000003</v>
      </c>
      <c r="H90" s="5">
        <v>94.185000000000002</v>
      </c>
      <c r="I90" s="1">
        <v>43488</v>
      </c>
      <c r="J90" s="1">
        <v>0.58611111111111114</v>
      </c>
      <c r="K90" s="8" t="s">
        <v>23</v>
      </c>
      <c r="L90">
        <v>89.7</v>
      </c>
      <c r="M90">
        <v>4.4850000000000003</v>
      </c>
      <c r="N90">
        <v>6.8</v>
      </c>
    </row>
    <row r="91" spans="1:14">
      <c r="A91" t="s">
        <v>431</v>
      </c>
      <c r="B91" s="8" t="s">
        <v>27</v>
      </c>
      <c r="C91" s="8" t="s">
        <v>1036</v>
      </c>
      <c r="D91" t="s">
        <v>22</v>
      </c>
      <c r="E91">
        <v>77.5</v>
      </c>
      <c r="F91">
        <v>5</v>
      </c>
      <c r="G91">
        <v>19.375</v>
      </c>
      <c r="H91" s="5">
        <v>406.875</v>
      </c>
      <c r="I91" s="1">
        <v>43489</v>
      </c>
      <c r="J91" s="1">
        <v>0.85833333333333328</v>
      </c>
      <c r="K91" s="8" t="s">
        <v>23</v>
      </c>
      <c r="L91">
        <v>387.5</v>
      </c>
      <c r="M91">
        <v>19.375</v>
      </c>
      <c r="N91">
        <v>4.3</v>
      </c>
    </row>
    <row r="92" spans="1:14">
      <c r="A92" t="s">
        <v>850</v>
      </c>
      <c r="B92" s="8" t="s">
        <v>20</v>
      </c>
      <c r="C92" s="8" t="s">
        <v>1036</v>
      </c>
      <c r="D92" t="s">
        <v>28</v>
      </c>
      <c r="E92">
        <v>48.62</v>
      </c>
      <c r="F92">
        <v>8</v>
      </c>
      <c r="G92">
        <v>19.448</v>
      </c>
      <c r="H92" s="5">
        <v>408.40800000000002</v>
      </c>
      <c r="I92" s="1">
        <v>43489</v>
      </c>
      <c r="J92" s="1">
        <v>0.45624999999999999</v>
      </c>
      <c r="K92" s="8" t="s">
        <v>29</v>
      </c>
      <c r="L92">
        <v>388.96</v>
      </c>
      <c r="M92">
        <v>19.448</v>
      </c>
      <c r="N92">
        <v>5</v>
      </c>
    </row>
    <row r="93" spans="1:14">
      <c r="A93" t="s">
        <v>567</v>
      </c>
      <c r="B93" s="8" t="s">
        <v>20</v>
      </c>
      <c r="C93" s="8" t="s">
        <v>1037</v>
      </c>
      <c r="D93" t="s">
        <v>46</v>
      </c>
      <c r="E93">
        <v>86.68</v>
      </c>
      <c r="F93">
        <v>8</v>
      </c>
      <c r="G93">
        <v>34.671999999999997</v>
      </c>
      <c r="H93" s="5">
        <v>728.11199999999997</v>
      </c>
      <c r="I93" s="1">
        <v>43489</v>
      </c>
      <c r="J93" s="1">
        <v>0.75277777777777777</v>
      </c>
      <c r="K93" s="8" t="s">
        <v>33</v>
      </c>
      <c r="L93">
        <v>693.44</v>
      </c>
      <c r="M93">
        <v>34.671999999999997</v>
      </c>
      <c r="N93">
        <v>7.2</v>
      </c>
    </row>
    <row r="94" spans="1:14">
      <c r="A94" t="s">
        <v>104</v>
      </c>
      <c r="B94" s="8" t="s">
        <v>27</v>
      </c>
      <c r="C94" s="8" t="s">
        <v>1037</v>
      </c>
      <c r="D94" t="s">
        <v>36</v>
      </c>
      <c r="E94">
        <v>78.77</v>
      </c>
      <c r="F94">
        <v>10</v>
      </c>
      <c r="G94">
        <v>39.384999999999998</v>
      </c>
      <c r="H94" s="5">
        <v>827.08500000000004</v>
      </c>
      <c r="I94" s="1">
        <v>43489</v>
      </c>
      <c r="J94" s="1">
        <v>0.41944444444444445</v>
      </c>
      <c r="K94" s="8" t="s">
        <v>29</v>
      </c>
      <c r="L94">
        <v>787.7</v>
      </c>
      <c r="M94">
        <v>39.384999999999998</v>
      </c>
      <c r="N94">
        <v>6.4</v>
      </c>
    </row>
    <row r="95" spans="1:14">
      <c r="A95" t="s">
        <v>866</v>
      </c>
      <c r="B95" s="8" t="s">
        <v>27</v>
      </c>
      <c r="C95" s="8" t="s">
        <v>1037</v>
      </c>
      <c r="D95" t="s">
        <v>28</v>
      </c>
      <c r="E95">
        <v>10.56</v>
      </c>
      <c r="F95">
        <v>8</v>
      </c>
      <c r="G95">
        <v>4.2240000000000002</v>
      </c>
      <c r="H95" s="5">
        <v>88.703999999999994</v>
      </c>
      <c r="I95" s="1">
        <v>43489</v>
      </c>
      <c r="J95" s="1">
        <v>0.73819444444444449</v>
      </c>
      <c r="K95" s="8" t="s">
        <v>29</v>
      </c>
      <c r="L95">
        <v>84.48</v>
      </c>
      <c r="M95">
        <v>4.2240000000000002</v>
      </c>
      <c r="N95">
        <v>7.6</v>
      </c>
    </row>
    <row r="96" spans="1:14">
      <c r="A96" t="s">
        <v>664</v>
      </c>
      <c r="B96" s="8" t="s">
        <v>20</v>
      </c>
      <c r="C96" s="8" t="s">
        <v>1037</v>
      </c>
      <c r="D96" t="s">
        <v>32</v>
      </c>
      <c r="E96">
        <v>53.3</v>
      </c>
      <c r="F96">
        <v>3</v>
      </c>
      <c r="G96">
        <v>7.9950000000000001</v>
      </c>
      <c r="H96" s="5">
        <v>167.89500000000001</v>
      </c>
      <c r="I96" s="1">
        <v>43490</v>
      </c>
      <c r="J96" s="1">
        <v>0.59652777777777777</v>
      </c>
      <c r="K96" s="8" t="s">
        <v>23</v>
      </c>
      <c r="L96">
        <v>159.9</v>
      </c>
      <c r="M96">
        <v>7.9950000000000001</v>
      </c>
      <c r="N96">
        <v>7.5</v>
      </c>
    </row>
    <row r="97" spans="1:14">
      <c r="A97" t="s">
        <v>246</v>
      </c>
      <c r="B97" s="8" t="s">
        <v>27</v>
      </c>
      <c r="C97" s="8" t="s">
        <v>1037</v>
      </c>
      <c r="D97" t="s">
        <v>28</v>
      </c>
      <c r="E97">
        <v>26.23</v>
      </c>
      <c r="F97">
        <v>9</v>
      </c>
      <c r="G97">
        <v>11.8035</v>
      </c>
      <c r="H97" s="5">
        <v>247.87350000000001</v>
      </c>
      <c r="I97" s="1">
        <v>43490</v>
      </c>
      <c r="J97" s="1">
        <v>0.85</v>
      </c>
      <c r="K97" s="8" t="s">
        <v>23</v>
      </c>
      <c r="L97">
        <v>236.07</v>
      </c>
      <c r="M97">
        <v>11.8035</v>
      </c>
      <c r="N97">
        <v>5.9</v>
      </c>
    </row>
    <row r="98" spans="1:14">
      <c r="A98" t="s">
        <v>334</v>
      </c>
      <c r="B98" s="8" t="s">
        <v>20</v>
      </c>
      <c r="C98" s="8" t="s">
        <v>1037</v>
      </c>
      <c r="D98" t="s">
        <v>32</v>
      </c>
      <c r="E98">
        <v>60.01</v>
      </c>
      <c r="F98">
        <v>4</v>
      </c>
      <c r="G98">
        <v>12.002000000000001</v>
      </c>
      <c r="H98" s="5">
        <v>252.042</v>
      </c>
      <c r="I98" s="1">
        <v>43490</v>
      </c>
      <c r="J98" s="1">
        <v>0.66249999999999998</v>
      </c>
      <c r="K98" s="8" t="s">
        <v>29</v>
      </c>
      <c r="L98">
        <v>240.04</v>
      </c>
      <c r="M98">
        <v>12.002000000000001</v>
      </c>
      <c r="N98">
        <v>4.5</v>
      </c>
    </row>
    <row r="99" spans="1:14">
      <c r="A99" t="s">
        <v>507</v>
      </c>
      <c r="B99" s="8" t="s">
        <v>20</v>
      </c>
      <c r="C99" s="8" t="s">
        <v>1036</v>
      </c>
      <c r="D99" t="s">
        <v>36</v>
      </c>
      <c r="E99">
        <v>40.049999999999997</v>
      </c>
      <c r="F99">
        <v>4</v>
      </c>
      <c r="G99">
        <v>8.01</v>
      </c>
      <c r="H99" s="5">
        <v>168.21</v>
      </c>
      <c r="I99" s="1">
        <v>43490</v>
      </c>
      <c r="J99" s="1">
        <v>0.4861111111111111</v>
      </c>
      <c r="K99" s="8" t="s">
        <v>29</v>
      </c>
      <c r="L99">
        <v>160.19999999999999</v>
      </c>
      <c r="M99">
        <v>8.01</v>
      </c>
      <c r="N99">
        <v>9.6999999999999993</v>
      </c>
    </row>
    <row r="100" spans="1:14">
      <c r="A100" t="s">
        <v>886</v>
      </c>
      <c r="B100" s="8" t="s">
        <v>27</v>
      </c>
      <c r="C100" s="8" t="s">
        <v>1037</v>
      </c>
      <c r="D100" t="s">
        <v>46</v>
      </c>
      <c r="E100">
        <v>74.099999999999994</v>
      </c>
      <c r="F100">
        <v>1</v>
      </c>
      <c r="G100">
        <v>3.7050000000000001</v>
      </c>
      <c r="H100" s="5">
        <v>77.805000000000007</v>
      </c>
      <c r="I100" s="1">
        <v>43490</v>
      </c>
      <c r="J100" s="1">
        <v>0.46180555555555558</v>
      </c>
      <c r="K100" s="8" t="s">
        <v>29</v>
      </c>
      <c r="L100">
        <v>74.099999999999994</v>
      </c>
      <c r="M100">
        <v>3.7050000000000001</v>
      </c>
      <c r="N100">
        <v>9.1999999999999993</v>
      </c>
    </row>
    <row r="101" spans="1:14">
      <c r="A101" t="s">
        <v>880</v>
      </c>
      <c r="B101" s="8" t="s">
        <v>27</v>
      </c>
      <c r="C101" s="8" t="s">
        <v>1037</v>
      </c>
      <c r="D101" t="s">
        <v>46</v>
      </c>
      <c r="E101">
        <v>21.32</v>
      </c>
      <c r="F101">
        <v>1</v>
      </c>
      <c r="G101">
        <v>1.0660000000000001</v>
      </c>
      <c r="H101" s="5">
        <v>22.385999999999999</v>
      </c>
      <c r="I101" s="1">
        <v>43491</v>
      </c>
      <c r="J101" s="1">
        <v>0.52986111111111112</v>
      </c>
      <c r="K101" s="8" t="s">
        <v>29</v>
      </c>
      <c r="L101">
        <v>21.32</v>
      </c>
      <c r="M101">
        <v>1.0660000000000001</v>
      </c>
      <c r="N101">
        <v>5.9</v>
      </c>
    </row>
    <row r="102" spans="1:14">
      <c r="A102" t="s">
        <v>387</v>
      </c>
      <c r="B102" s="8" t="s">
        <v>27</v>
      </c>
      <c r="C102" s="8" t="s">
        <v>1037</v>
      </c>
      <c r="D102" t="s">
        <v>28</v>
      </c>
      <c r="E102">
        <v>51.69</v>
      </c>
      <c r="F102">
        <v>7</v>
      </c>
      <c r="G102">
        <v>18.0915</v>
      </c>
      <c r="H102" s="5">
        <v>379.92149999999998</v>
      </c>
      <c r="I102" s="1">
        <v>43491</v>
      </c>
      <c r="J102" s="1">
        <v>0.76527777777777772</v>
      </c>
      <c r="K102" s="8" t="s">
        <v>29</v>
      </c>
      <c r="L102">
        <v>361.83</v>
      </c>
      <c r="M102">
        <v>18.0915</v>
      </c>
      <c r="N102">
        <v>5.5</v>
      </c>
    </row>
    <row r="103" spans="1:14">
      <c r="A103" t="s">
        <v>665</v>
      </c>
      <c r="B103" s="8" t="s">
        <v>27</v>
      </c>
      <c r="C103" s="8" t="s">
        <v>1036</v>
      </c>
      <c r="D103" t="s">
        <v>46</v>
      </c>
      <c r="E103">
        <v>12.09</v>
      </c>
      <c r="F103">
        <v>1</v>
      </c>
      <c r="G103">
        <v>0.60450000000000004</v>
      </c>
      <c r="H103" s="5">
        <v>12.6945</v>
      </c>
      <c r="I103" s="1">
        <v>43491</v>
      </c>
      <c r="J103" s="1">
        <v>0.7631944444444444</v>
      </c>
      <c r="K103" s="8" t="s">
        <v>33</v>
      </c>
      <c r="L103">
        <v>12.09</v>
      </c>
      <c r="M103">
        <v>0.60450000000000004</v>
      </c>
      <c r="N103">
        <v>8.1999999999999993</v>
      </c>
    </row>
    <row r="104" spans="1:14">
      <c r="A104" t="s">
        <v>560</v>
      </c>
      <c r="B104" s="8" t="s">
        <v>27</v>
      </c>
      <c r="C104" s="8" t="s">
        <v>1037</v>
      </c>
      <c r="D104" t="s">
        <v>44</v>
      </c>
      <c r="E104">
        <v>81.709999999999994</v>
      </c>
      <c r="F104">
        <v>6</v>
      </c>
      <c r="G104">
        <v>24.513000000000002</v>
      </c>
      <c r="H104" s="5">
        <v>514.77300000000002</v>
      </c>
      <c r="I104" s="1">
        <v>43492</v>
      </c>
      <c r="J104" s="1">
        <v>0.60833333333333328</v>
      </c>
      <c r="K104" s="8" t="s">
        <v>33</v>
      </c>
      <c r="L104">
        <v>490.26</v>
      </c>
      <c r="M104">
        <v>24.513000000000002</v>
      </c>
      <c r="N104">
        <v>8</v>
      </c>
    </row>
    <row r="105" spans="1:14">
      <c r="A105" t="s">
        <v>548</v>
      </c>
      <c r="B105" s="8" t="s">
        <v>27</v>
      </c>
      <c r="C105" s="8" t="s">
        <v>1036</v>
      </c>
      <c r="D105" t="s">
        <v>46</v>
      </c>
      <c r="E105">
        <v>54.28</v>
      </c>
      <c r="F105">
        <v>7</v>
      </c>
      <c r="G105">
        <v>18.998000000000001</v>
      </c>
      <c r="H105" s="5">
        <v>398.95800000000003</v>
      </c>
      <c r="I105" s="1">
        <v>43492</v>
      </c>
      <c r="J105" s="1">
        <v>0.75347222222222221</v>
      </c>
      <c r="K105" s="8" t="s">
        <v>23</v>
      </c>
      <c r="L105">
        <v>379.96</v>
      </c>
      <c r="M105">
        <v>18.998000000000001</v>
      </c>
      <c r="N105">
        <v>9.3000000000000007</v>
      </c>
    </row>
    <row r="106" spans="1:14">
      <c r="A106" t="s">
        <v>882</v>
      </c>
      <c r="B106" s="8" t="s">
        <v>20</v>
      </c>
      <c r="C106" s="8" t="s">
        <v>1037</v>
      </c>
      <c r="D106" t="s">
        <v>28</v>
      </c>
      <c r="E106">
        <v>73.260000000000005</v>
      </c>
      <c r="F106">
        <v>1</v>
      </c>
      <c r="G106">
        <v>3.6629999999999998</v>
      </c>
      <c r="H106" s="5">
        <v>76.923000000000002</v>
      </c>
      <c r="I106" s="1">
        <v>43492</v>
      </c>
      <c r="J106" s="1">
        <v>0.75555555555555554</v>
      </c>
      <c r="K106" s="8" t="s">
        <v>23</v>
      </c>
      <c r="L106">
        <v>73.260000000000005</v>
      </c>
      <c r="M106">
        <v>3.6629999999999998</v>
      </c>
      <c r="N106">
        <v>9.6999999999999993</v>
      </c>
    </row>
    <row r="107" spans="1:14">
      <c r="A107" t="s">
        <v>309</v>
      </c>
      <c r="B107" s="8" t="s">
        <v>27</v>
      </c>
      <c r="C107" s="8" t="s">
        <v>1036</v>
      </c>
      <c r="D107" t="s">
        <v>32</v>
      </c>
      <c r="E107">
        <v>12.03</v>
      </c>
      <c r="F107">
        <v>2</v>
      </c>
      <c r="G107">
        <v>1.2030000000000001</v>
      </c>
      <c r="H107" s="5">
        <v>25.263000000000002</v>
      </c>
      <c r="I107" s="1">
        <v>43492</v>
      </c>
      <c r="J107" s="1">
        <v>0.66041666666666665</v>
      </c>
      <c r="K107" s="8" t="s">
        <v>29</v>
      </c>
      <c r="L107">
        <v>24.06</v>
      </c>
      <c r="M107">
        <v>1.2030000000000001</v>
      </c>
      <c r="N107">
        <v>5.0999999999999996</v>
      </c>
    </row>
    <row r="108" spans="1:14">
      <c r="A108" t="s">
        <v>162</v>
      </c>
      <c r="B108" s="8" t="s">
        <v>27</v>
      </c>
      <c r="C108" s="8" t="s">
        <v>1036</v>
      </c>
      <c r="D108" t="s">
        <v>36</v>
      </c>
      <c r="E108">
        <v>32.25</v>
      </c>
      <c r="F108">
        <v>5</v>
      </c>
      <c r="G108">
        <v>8.0625</v>
      </c>
      <c r="H108" s="5">
        <v>169.3125</v>
      </c>
      <c r="I108" s="1">
        <v>43492</v>
      </c>
      <c r="J108" s="1">
        <v>0.55972222222222223</v>
      </c>
      <c r="K108" s="8" t="s">
        <v>29</v>
      </c>
      <c r="L108">
        <v>161.25</v>
      </c>
      <c r="M108">
        <v>8.0625</v>
      </c>
      <c r="N108">
        <v>9</v>
      </c>
    </row>
    <row r="109" spans="1:14">
      <c r="A109" t="s">
        <v>34</v>
      </c>
      <c r="B109" s="8" t="s">
        <v>20</v>
      </c>
      <c r="C109" s="8" t="s">
        <v>1037</v>
      </c>
      <c r="D109" t="s">
        <v>22</v>
      </c>
      <c r="E109">
        <v>58.22</v>
      </c>
      <c r="F109">
        <v>8</v>
      </c>
      <c r="G109">
        <v>23.288</v>
      </c>
      <c r="H109" s="5">
        <v>489.048</v>
      </c>
      <c r="I109" s="1">
        <v>43492</v>
      </c>
      <c r="J109" s="1">
        <v>0.85624999999999996</v>
      </c>
      <c r="K109" s="8" t="s">
        <v>23</v>
      </c>
      <c r="L109">
        <v>465.76</v>
      </c>
      <c r="M109">
        <v>23.288</v>
      </c>
      <c r="N109">
        <v>8.4</v>
      </c>
    </row>
    <row r="110" spans="1:14">
      <c r="A110" t="s">
        <v>939</v>
      </c>
      <c r="B110" s="8" t="s">
        <v>27</v>
      </c>
      <c r="C110" s="8" t="s">
        <v>1037</v>
      </c>
      <c r="D110" t="s">
        <v>44</v>
      </c>
      <c r="E110">
        <v>11.53</v>
      </c>
      <c r="F110">
        <v>7</v>
      </c>
      <c r="G110">
        <v>4.0354999999999999</v>
      </c>
      <c r="H110" s="5">
        <v>84.745500000000007</v>
      </c>
      <c r="I110" s="1">
        <v>43493</v>
      </c>
      <c r="J110" s="1">
        <v>0.73263888888888884</v>
      </c>
      <c r="K110" s="8" t="s">
        <v>29</v>
      </c>
      <c r="L110">
        <v>80.709999999999994</v>
      </c>
      <c r="M110">
        <v>4.0354999999999999</v>
      </c>
      <c r="N110">
        <v>8.1</v>
      </c>
    </row>
    <row r="111" spans="1:14">
      <c r="A111" t="s">
        <v>541</v>
      </c>
      <c r="B111" s="8" t="s">
        <v>20</v>
      </c>
      <c r="C111" s="8" t="s">
        <v>1037</v>
      </c>
      <c r="D111" t="s">
        <v>28</v>
      </c>
      <c r="E111">
        <v>24.18</v>
      </c>
      <c r="F111">
        <v>8</v>
      </c>
      <c r="G111">
        <v>9.6720000000000006</v>
      </c>
      <c r="H111" s="5">
        <v>203.11199999999999</v>
      </c>
      <c r="I111" s="1">
        <v>43493</v>
      </c>
      <c r="J111" s="1">
        <v>0.87083333333333335</v>
      </c>
      <c r="K111" s="8" t="s">
        <v>23</v>
      </c>
      <c r="L111">
        <v>193.44</v>
      </c>
      <c r="M111">
        <v>9.6720000000000006</v>
      </c>
      <c r="N111">
        <v>9.8000000000000007</v>
      </c>
    </row>
    <row r="112" spans="1:14">
      <c r="A112" t="s">
        <v>694</v>
      </c>
      <c r="B112" s="8" t="s">
        <v>20</v>
      </c>
      <c r="C112" s="8" t="s">
        <v>1036</v>
      </c>
      <c r="D112" t="s">
        <v>36</v>
      </c>
      <c r="E112">
        <v>27.93</v>
      </c>
      <c r="F112">
        <v>5</v>
      </c>
      <c r="G112">
        <v>6.9824999999999999</v>
      </c>
      <c r="H112" s="5">
        <v>146.63249999999999</v>
      </c>
      <c r="I112" s="1">
        <v>43494</v>
      </c>
      <c r="J112" s="1">
        <v>0.65833333333333333</v>
      </c>
      <c r="K112" s="8" t="s">
        <v>29</v>
      </c>
      <c r="L112">
        <v>139.65</v>
      </c>
      <c r="M112">
        <v>6.9824999999999999</v>
      </c>
      <c r="N112">
        <v>5.9</v>
      </c>
    </row>
    <row r="113" spans="1:14">
      <c r="A113" t="s">
        <v>731</v>
      </c>
      <c r="B113" s="8" t="s">
        <v>20</v>
      </c>
      <c r="C113" s="8" t="s">
        <v>1036</v>
      </c>
      <c r="D113" t="s">
        <v>32</v>
      </c>
      <c r="E113">
        <v>87.37</v>
      </c>
      <c r="F113">
        <v>5</v>
      </c>
      <c r="G113">
        <v>21.842500000000001</v>
      </c>
      <c r="H113" s="5">
        <v>458.6925</v>
      </c>
      <c r="I113" s="1">
        <v>43494</v>
      </c>
      <c r="J113" s="1">
        <v>0.82291666666666663</v>
      </c>
      <c r="K113" s="8" t="s">
        <v>29</v>
      </c>
      <c r="L113">
        <v>436.85</v>
      </c>
      <c r="M113">
        <v>21.842500000000001</v>
      </c>
      <c r="N113">
        <v>6.6</v>
      </c>
    </row>
    <row r="114" spans="1:14">
      <c r="A114" t="s">
        <v>188</v>
      </c>
      <c r="B114" s="8" t="s">
        <v>27</v>
      </c>
      <c r="C114" s="8" t="s">
        <v>1037</v>
      </c>
      <c r="D114" t="s">
        <v>46</v>
      </c>
      <c r="E114">
        <v>83.24</v>
      </c>
      <c r="F114">
        <v>9</v>
      </c>
      <c r="G114">
        <v>37.457999999999998</v>
      </c>
      <c r="H114" s="5">
        <v>786.61800000000005</v>
      </c>
      <c r="I114" s="1">
        <v>43494</v>
      </c>
      <c r="J114" s="1">
        <v>0.49722222222222223</v>
      </c>
      <c r="K114" s="8" t="s">
        <v>33</v>
      </c>
      <c r="L114">
        <v>749.16</v>
      </c>
      <c r="M114">
        <v>37.457999999999998</v>
      </c>
      <c r="N114">
        <v>7.4</v>
      </c>
    </row>
    <row r="115" spans="1:14">
      <c r="A115" t="s">
        <v>861</v>
      </c>
      <c r="B115" s="8" t="s">
        <v>20</v>
      </c>
      <c r="C115" s="8" t="s">
        <v>1036</v>
      </c>
      <c r="D115" t="s">
        <v>36</v>
      </c>
      <c r="E115">
        <v>22.01</v>
      </c>
      <c r="F115">
        <v>4</v>
      </c>
      <c r="G115">
        <v>4.4020000000000001</v>
      </c>
      <c r="H115" s="5">
        <v>92.441999999999993</v>
      </c>
      <c r="I115" s="1">
        <v>43494</v>
      </c>
      <c r="J115" s="1">
        <v>0.76041666666666663</v>
      </c>
      <c r="K115" s="8" t="s">
        <v>33</v>
      </c>
      <c r="L115">
        <v>88.04</v>
      </c>
      <c r="M115">
        <v>4.4020000000000001</v>
      </c>
      <c r="N115">
        <v>6.6</v>
      </c>
    </row>
    <row r="116" spans="1:14">
      <c r="A116" t="s">
        <v>515</v>
      </c>
      <c r="B116" s="8" t="s">
        <v>27</v>
      </c>
      <c r="C116" s="8" t="s">
        <v>1037</v>
      </c>
      <c r="D116" t="s">
        <v>28</v>
      </c>
      <c r="E116">
        <v>38.6</v>
      </c>
      <c r="F116">
        <v>1</v>
      </c>
      <c r="G116">
        <v>1.93</v>
      </c>
      <c r="H116" s="5">
        <v>40.53</v>
      </c>
      <c r="I116" s="1">
        <v>43494</v>
      </c>
      <c r="J116" s="1">
        <v>0.47638888888888886</v>
      </c>
      <c r="K116" s="8" t="s">
        <v>23</v>
      </c>
      <c r="L116">
        <v>38.6</v>
      </c>
      <c r="M116">
        <v>1.93</v>
      </c>
      <c r="N116">
        <v>6.7</v>
      </c>
    </row>
    <row r="117" spans="1:14">
      <c r="A117" t="s">
        <v>881</v>
      </c>
      <c r="B117" s="8" t="s">
        <v>20</v>
      </c>
      <c r="C117" s="8" t="s">
        <v>1037</v>
      </c>
      <c r="D117" t="s">
        <v>28</v>
      </c>
      <c r="E117">
        <v>93.78</v>
      </c>
      <c r="F117">
        <v>3</v>
      </c>
      <c r="G117">
        <v>14.067</v>
      </c>
      <c r="H117" s="5">
        <v>295.40699999999998</v>
      </c>
      <c r="I117" s="1">
        <v>43495</v>
      </c>
      <c r="J117" s="1">
        <v>0.48055555555555557</v>
      </c>
      <c r="K117" s="8" t="s">
        <v>33</v>
      </c>
      <c r="L117">
        <v>281.33999999999997</v>
      </c>
      <c r="M117">
        <v>14.067</v>
      </c>
      <c r="N117">
        <v>5.9</v>
      </c>
    </row>
    <row r="118" spans="1:14">
      <c r="A118" t="s">
        <v>949</v>
      </c>
      <c r="B118" s="8" t="s">
        <v>20</v>
      </c>
      <c r="C118" s="8" t="s">
        <v>1037</v>
      </c>
      <c r="D118" t="s">
        <v>46</v>
      </c>
      <c r="E118">
        <v>51.34</v>
      </c>
      <c r="F118">
        <v>8</v>
      </c>
      <c r="G118">
        <v>20.536000000000001</v>
      </c>
      <c r="H118" s="5">
        <v>431.25599999999997</v>
      </c>
      <c r="I118" s="1">
        <v>43496</v>
      </c>
      <c r="J118" s="1">
        <v>0.41666666666666669</v>
      </c>
      <c r="K118" s="8" t="s">
        <v>23</v>
      </c>
      <c r="L118">
        <v>410.72</v>
      </c>
      <c r="M118">
        <v>20.536000000000001</v>
      </c>
      <c r="N118">
        <v>7.6</v>
      </c>
    </row>
    <row r="119" spans="1:14">
      <c r="A119" t="s">
        <v>292</v>
      </c>
      <c r="B119" s="8" t="s">
        <v>20</v>
      </c>
      <c r="C119" s="8" t="s">
        <v>1037</v>
      </c>
      <c r="D119" t="s">
        <v>28</v>
      </c>
      <c r="E119">
        <v>66.349999999999994</v>
      </c>
      <c r="F119">
        <v>1</v>
      </c>
      <c r="G119">
        <v>3.3174999999999999</v>
      </c>
      <c r="H119" s="5">
        <v>69.667500000000004</v>
      </c>
      <c r="I119" s="1">
        <v>43496</v>
      </c>
      <c r="J119" s="1">
        <v>0.44861111111111113</v>
      </c>
      <c r="K119" s="8" t="s">
        <v>33</v>
      </c>
      <c r="L119">
        <v>66.349999999999994</v>
      </c>
      <c r="M119">
        <v>3.3174999999999999</v>
      </c>
      <c r="N119">
        <v>9.6999999999999993</v>
      </c>
    </row>
    <row r="120" spans="1:14">
      <c r="A120" t="s">
        <v>490</v>
      </c>
      <c r="B120" s="8" t="s">
        <v>20</v>
      </c>
      <c r="C120" s="8" t="s">
        <v>1037</v>
      </c>
      <c r="D120" t="s">
        <v>28</v>
      </c>
      <c r="E120">
        <v>20.77</v>
      </c>
      <c r="F120">
        <v>4</v>
      </c>
      <c r="G120">
        <v>4.1539999999999999</v>
      </c>
      <c r="H120" s="5">
        <v>87.233999999999995</v>
      </c>
      <c r="I120" s="1">
        <v>43496</v>
      </c>
      <c r="J120" s="1">
        <v>0.57430555555555551</v>
      </c>
      <c r="K120" s="8" t="s">
        <v>29</v>
      </c>
      <c r="L120">
        <v>83.08</v>
      </c>
      <c r="M120">
        <v>4.1539999999999999</v>
      </c>
      <c r="N120">
        <v>4.7</v>
      </c>
    </row>
    <row r="121" spans="1:14">
      <c r="A121" t="s">
        <v>205</v>
      </c>
      <c r="B121" s="8" t="s">
        <v>20</v>
      </c>
      <c r="C121" s="8" t="s">
        <v>1037</v>
      </c>
      <c r="D121" t="s">
        <v>36</v>
      </c>
      <c r="E121">
        <v>69.52</v>
      </c>
      <c r="F121">
        <v>7</v>
      </c>
      <c r="G121">
        <v>24.332000000000001</v>
      </c>
      <c r="H121" s="5">
        <v>510.97199999999998</v>
      </c>
      <c r="I121" s="1">
        <v>43497</v>
      </c>
      <c r="J121" s="1">
        <v>0.63194444444444442</v>
      </c>
      <c r="K121" s="8" t="s">
        <v>33</v>
      </c>
      <c r="L121">
        <v>486.64</v>
      </c>
      <c r="M121">
        <v>24.332000000000001</v>
      </c>
      <c r="N121">
        <v>8.5</v>
      </c>
    </row>
    <row r="122" spans="1:14">
      <c r="A122" t="s">
        <v>617</v>
      </c>
      <c r="B122" s="8" t="s">
        <v>20</v>
      </c>
      <c r="C122" s="8" t="s">
        <v>1036</v>
      </c>
      <c r="D122" t="s">
        <v>22</v>
      </c>
      <c r="E122">
        <v>77.680000000000007</v>
      </c>
      <c r="F122">
        <v>4</v>
      </c>
      <c r="G122">
        <v>15.536</v>
      </c>
      <c r="H122" s="5">
        <v>326.25599999999997</v>
      </c>
      <c r="I122" s="1">
        <v>43497</v>
      </c>
      <c r="J122" s="1">
        <v>0.82916666666666672</v>
      </c>
      <c r="K122" s="8" t="s">
        <v>29</v>
      </c>
      <c r="L122">
        <v>310.72000000000003</v>
      </c>
      <c r="M122">
        <v>15.536</v>
      </c>
      <c r="N122">
        <v>8.4</v>
      </c>
    </row>
    <row r="123" spans="1:14">
      <c r="A123" t="s">
        <v>348</v>
      </c>
      <c r="B123" s="8" t="s">
        <v>20</v>
      </c>
      <c r="C123" s="8" t="s">
        <v>1036</v>
      </c>
      <c r="D123" t="s">
        <v>44</v>
      </c>
      <c r="E123">
        <v>14.23</v>
      </c>
      <c r="F123">
        <v>5</v>
      </c>
      <c r="G123">
        <v>3.5575000000000001</v>
      </c>
      <c r="H123" s="5">
        <v>74.707499999999996</v>
      </c>
      <c r="I123" s="1">
        <v>43497</v>
      </c>
      <c r="J123" s="1">
        <v>0.42222222222222222</v>
      </c>
      <c r="K123" s="8" t="s">
        <v>33</v>
      </c>
      <c r="L123">
        <v>71.150000000000006</v>
      </c>
      <c r="M123">
        <v>3.5575000000000001</v>
      </c>
      <c r="N123">
        <v>4.4000000000000004</v>
      </c>
    </row>
    <row r="124" spans="1:14">
      <c r="A124" t="s">
        <v>105</v>
      </c>
      <c r="B124" s="8" t="s">
        <v>20</v>
      </c>
      <c r="C124" s="8" t="s">
        <v>1036</v>
      </c>
      <c r="D124" t="s">
        <v>22</v>
      </c>
      <c r="E124">
        <v>18.329999999999998</v>
      </c>
      <c r="F124">
        <v>1</v>
      </c>
      <c r="G124">
        <v>0.91649999999999998</v>
      </c>
      <c r="H124" s="5">
        <v>19.246500000000001</v>
      </c>
      <c r="I124" s="1">
        <v>43498</v>
      </c>
      <c r="J124" s="1">
        <v>0.78472222222222221</v>
      </c>
      <c r="K124" s="8" t="s">
        <v>29</v>
      </c>
      <c r="L124">
        <v>18.329999999999998</v>
      </c>
      <c r="M124">
        <v>0.91649999999999998</v>
      </c>
      <c r="N124">
        <v>4.3</v>
      </c>
    </row>
    <row r="125" spans="1:14">
      <c r="A125" t="s">
        <v>508</v>
      </c>
      <c r="B125" s="8" t="s">
        <v>20</v>
      </c>
      <c r="C125" s="8" t="s">
        <v>1037</v>
      </c>
      <c r="D125" t="s">
        <v>46</v>
      </c>
      <c r="E125">
        <v>43.13</v>
      </c>
      <c r="F125">
        <v>10</v>
      </c>
      <c r="G125">
        <v>21.565000000000001</v>
      </c>
      <c r="H125" s="5">
        <v>452.86500000000001</v>
      </c>
      <c r="I125" s="1">
        <v>43498</v>
      </c>
      <c r="J125" s="1">
        <v>0.77152777777777781</v>
      </c>
      <c r="K125" s="8" t="s">
        <v>33</v>
      </c>
      <c r="L125">
        <v>431.3</v>
      </c>
      <c r="M125">
        <v>21.565000000000001</v>
      </c>
      <c r="N125">
        <v>5.5</v>
      </c>
    </row>
    <row r="126" spans="1:14">
      <c r="A126" t="s">
        <v>535</v>
      </c>
      <c r="B126" s="8" t="s">
        <v>20</v>
      </c>
      <c r="C126" s="8" t="s">
        <v>1036</v>
      </c>
      <c r="D126" t="s">
        <v>36</v>
      </c>
      <c r="E126">
        <v>51.52</v>
      </c>
      <c r="F126">
        <v>8</v>
      </c>
      <c r="G126">
        <v>20.608000000000001</v>
      </c>
      <c r="H126" s="5">
        <v>432.76799999999997</v>
      </c>
      <c r="I126" s="1">
        <v>43498</v>
      </c>
      <c r="J126" s="1">
        <v>0.65763888888888888</v>
      </c>
      <c r="K126" s="8" t="s">
        <v>29</v>
      </c>
      <c r="L126">
        <v>412.16</v>
      </c>
      <c r="M126">
        <v>20.608000000000001</v>
      </c>
      <c r="N126">
        <v>9.6</v>
      </c>
    </row>
    <row r="127" spans="1:14">
      <c r="A127" t="s">
        <v>154</v>
      </c>
      <c r="B127" s="8" t="s">
        <v>27</v>
      </c>
      <c r="C127" s="8" t="s">
        <v>1036</v>
      </c>
      <c r="D127" t="s">
        <v>44</v>
      </c>
      <c r="E127">
        <v>10.96</v>
      </c>
      <c r="F127">
        <v>10</v>
      </c>
      <c r="G127">
        <v>5.48</v>
      </c>
      <c r="H127" s="5">
        <v>115.08</v>
      </c>
      <c r="I127" s="1">
        <v>43498</v>
      </c>
      <c r="J127" s="1">
        <v>0.8666666666666667</v>
      </c>
      <c r="K127" s="8" t="s">
        <v>23</v>
      </c>
      <c r="L127">
        <v>109.6</v>
      </c>
      <c r="M127">
        <v>5.48</v>
      </c>
      <c r="N127">
        <v>6</v>
      </c>
    </row>
    <row r="128" spans="1:14">
      <c r="A128" t="s">
        <v>650</v>
      </c>
      <c r="B128" s="8" t="s">
        <v>20</v>
      </c>
      <c r="C128" s="8" t="s">
        <v>1037</v>
      </c>
      <c r="D128" t="s">
        <v>44</v>
      </c>
      <c r="E128">
        <v>67.45</v>
      </c>
      <c r="F128">
        <v>10</v>
      </c>
      <c r="G128">
        <v>33.725000000000001</v>
      </c>
      <c r="H128" s="5">
        <v>708.22500000000002</v>
      </c>
      <c r="I128" s="1">
        <v>43499</v>
      </c>
      <c r="J128" s="1">
        <v>0.47569444444444442</v>
      </c>
      <c r="K128" s="8" t="s">
        <v>23</v>
      </c>
      <c r="L128">
        <v>674.5</v>
      </c>
      <c r="M128">
        <v>33.725000000000001</v>
      </c>
      <c r="N128">
        <v>4.2</v>
      </c>
    </row>
    <row r="129" spans="1:14">
      <c r="A129" t="s">
        <v>325</v>
      </c>
      <c r="B129" s="8" t="s">
        <v>20</v>
      </c>
      <c r="C129" s="8" t="s">
        <v>1036</v>
      </c>
      <c r="D129" t="s">
        <v>32</v>
      </c>
      <c r="E129">
        <v>94.88</v>
      </c>
      <c r="F129">
        <v>7</v>
      </c>
      <c r="G129">
        <v>33.207999999999998</v>
      </c>
      <c r="H129" s="5">
        <v>697.36800000000005</v>
      </c>
      <c r="I129" s="1">
        <v>43499</v>
      </c>
      <c r="J129" s="1">
        <v>0.60972222222222228</v>
      </c>
      <c r="K129" s="8" t="s">
        <v>29</v>
      </c>
      <c r="L129">
        <v>664.16</v>
      </c>
      <c r="M129">
        <v>33.207999999999998</v>
      </c>
      <c r="N129">
        <v>4.2</v>
      </c>
    </row>
    <row r="130" spans="1:14">
      <c r="A130" t="s">
        <v>368</v>
      </c>
      <c r="B130" s="8" t="s">
        <v>27</v>
      </c>
      <c r="C130" s="8" t="s">
        <v>1037</v>
      </c>
      <c r="D130" t="s">
        <v>46</v>
      </c>
      <c r="E130">
        <v>77.02</v>
      </c>
      <c r="F130">
        <v>5</v>
      </c>
      <c r="G130">
        <v>19.254999999999999</v>
      </c>
      <c r="H130" s="5">
        <v>404.35500000000002</v>
      </c>
      <c r="I130" s="1">
        <v>43499</v>
      </c>
      <c r="J130" s="1">
        <v>0.66597222222222219</v>
      </c>
      <c r="K130" s="8" t="s">
        <v>29</v>
      </c>
      <c r="L130">
        <v>385.1</v>
      </c>
      <c r="M130">
        <v>19.254999999999999</v>
      </c>
      <c r="N130">
        <v>5.5</v>
      </c>
    </row>
    <row r="131" spans="1:14">
      <c r="A131" t="s">
        <v>787</v>
      </c>
      <c r="B131" s="8" t="s">
        <v>27</v>
      </c>
      <c r="C131" s="8" t="s">
        <v>1036</v>
      </c>
      <c r="D131" t="s">
        <v>44</v>
      </c>
      <c r="E131">
        <v>27.28</v>
      </c>
      <c r="F131">
        <v>5</v>
      </c>
      <c r="G131">
        <v>6.82</v>
      </c>
      <c r="H131" s="5">
        <v>143.22</v>
      </c>
      <c r="I131" s="1">
        <v>43499</v>
      </c>
      <c r="J131" s="1">
        <v>0.43819444444444444</v>
      </c>
      <c r="K131" s="8" t="s">
        <v>33</v>
      </c>
      <c r="L131">
        <v>136.4</v>
      </c>
      <c r="M131">
        <v>6.82</v>
      </c>
      <c r="N131">
        <v>8.6</v>
      </c>
    </row>
    <row r="132" spans="1:14">
      <c r="A132" t="s">
        <v>688</v>
      </c>
      <c r="B132" s="8" t="s">
        <v>20</v>
      </c>
      <c r="C132" s="8" t="s">
        <v>1037</v>
      </c>
      <c r="D132" t="s">
        <v>32</v>
      </c>
      <c r="E132">
        <v>72.78</v>
      </c>
      <c r="F132">
        <v>10</v>
      </c>
      <c r="G132">
        <v>36.39</v>
      </c>
      <c r="H132" s="5">
        <v>764.19</v>
      </c>
      <c r="I132" s="1">
        <v>43499</v>
      </c>
      <c r="J132" s="1">
        <v>0.72499999999999998</v>
      </c>
      <c r="K132" s="8" t="s">
        <v>29</v>
      </c>
      <c r="L132">
        <v>727.8</v>
      </c>
      <c r="M132">
        <v>36.39</v>
      </c>
      <c r="N132">
        <v>7.3</v>
      </c>
    </row>
    <row r="133" spans="1:14">
      <c r="A133" t="s">
        <v>821</v>
      </c>
      <c r="B133" s="8" t="s">
        <v>27</v>
      </c>
      <c r="C133" s="8" t="s">
        <v>1037</v>
      </c>
      <c r="D133" t="s">
        <v>28</v>
      </c>
      <c r="E133">
        <v>74.58</v>
      </c>
      <c r="F133">
        <v>7</v>
      </c>
      <c r="G133">
        <v>26.103000000000002</v>
      </c>
      <c r="H133" s="5">
        <v>548.16300000000001</v>
      </c>
      <c r="I133" s="1">
        <v>43500</v>
      </c>
      <c r="J133" s="1">
        <v>0.67291666666666672</v>
      </c>
      <c r="K133" s="8" t="s">
        <v>33</v>
      </c>
      <c r="L133">
        <v>522.05999999999995</v>
      </c>
      <c r="M133">
        <v>26.103000000000002</v>
      </c>
      <c r="N133">
        <v>9</v>
      </c>
    </row>
    <row r="134" spans="1:14">
      <c r="A134" t="s">
        <v>623</v>
      </c>
      <c r="B134" s="8" t="s">
        <v>27</v>
      </c>
      <c r="C134" s="8" t="s">
        <v>1036</v>
      </c>
      <c r="D134" t="s">
        <v>36</v>
      </c>
      <c r="E134">
        <v>43.06</v>
      </c>
      <c r="F134">
        <v>5</v>
      </c>
      <c r="G134">
        <v>10.765000000000001</v>
      </c>
      <c r="H134" s="5">
        <v>226.065</v>
      </c>
      <c r="I134" s="1">
        <v>43500</v>
      </c>
      <c r="J134" s="1">
        <v>0.69305555555555554</v>
      </c>
      <c r="K134" s="8" t="s">
        <v>23</v>
      </c>
      <c r="L134">
        <v>215.3</v>
      </c>
      <c r="M134">
        <v>10.765000000000001</v>
      </c>
      <c r="N134">
        <v>7.7</v>
      </c>
    </row>
    <row r="135" spans="1:14">
      <c r="A135" t="s">
        <v>701</v>
      </c>
      <c r="B135" s="8" t="s">
        <v>27</v>
      </c>
      <c r="C135" s="8" t="s">
        <v>1036</v>
      </c>
      <c r="D135" t="s">
        <v>46</v>
      </c>
      <c r="E135">
        <v>48.63</v>
      </c>
      <c r="F135">
        <v>4</v>
      </c>
      <c r="G135">
        <v>9.7260000000000009</v>
      </c>
      <c r="H135" s="5">
        <v>204.24600000000001</v>
      </c>
      <c r="I135" s="1">
        <v>43500</v>
      </c>
      <c r="J135" s="1">
        <v>0.65555555555555556</v>
      </c>
      <c r="K135" s="8" t="s">
        <v>23</v>
      </c>
      <c r="L135">
        <v>194.52</v>
      </c>
      <c r="M135">
        <v>9.7260000000000009</v>
      </c>
      <c r="N135">
        <v>7.6</v>
      </c>
    </row>
    <row r="136" spans="1:14">
      <c r="A136" t="s">
        <v>455</v>
      </c>
      <c r="B136" s="8" t="s">
        <v>20</v>
      </c>
      <c r="C136" s="8" t="s">
        <v>1036</v>
      </c>
      <c r="D136" t="s">
        <v>28</v>
      </c>
      <c r="E136">
        <v>25.22</v>
      </c>
      <c r="F136">
        <v>7</v>
      </c>
      <c r="G136">
        <v>8.827</v>
      </c>
      <c r="H136" s="5">
        <v>185.36699999999999</v>
      </c>
      <c r="I136" s="1">
        <v>43500</v>
      </c>
      <c r="J136" s="1">
        <v>0.43263888888888891</v>
      </c>
      <c r="K136" s="8" t="s">
        <v>29</v>
      </c>
      <c r="L136">
        <v>176.54</v>
      </c>
      <c r="M136">
        <v>8.827</v>
      </c>
      <c r="N136">
        <v>8.1999999999999993</v>
      </c>
    </row>
    <row r="137" spans="1:14">
      <c r="A137" t="s">
        <v>382</v>
      </c>
      <c r="B137" s="8" t="s">
        <v>20</v>
      </c>
      <c r="C137" s="8" t="s">
        <v>1037</v>
      </c>
      <c r="D137" t="s">
        <v>28</v>
      </c>
      <c r="E137">
        <v>71.95</v>
      </c>
      <c r="F137">
        <v>1</v>
      </c>
      <c r="G137">
        <v>3.5975000000000001</v>
      </c>
      <c r="H137" s="5">
        <v>75.547499999999999</v>
      </c>
      <c r="I137" s="1">
        <v>43500</v>
      </c>
      <c r="J137" s="1">
        <v>0.50972222222222219</v>
      </c>
      <c r="K137" s="8" t="s">
        <v>29</v>
      </c>
      <c r="L137">
        <v>71.95</v>
      </c>
      <c r="M137">
        <v>3.5975000000000001</v>
      </c>
      <c r="N137">
        <v>7.3</v>
      </c>
    </row>
    <row r="138" spans="1:14">
      <c r="A138" t="s">
        <v>293</v>
      </c>
      <c r="B138" s="8" t="s">
        <v>20</v>
      </c>
      <c r="C138" s="8" t="s">
        <v>1037</v>
      </c>
      <c r="D138" t="s">
        <v>32</v>
      </c>
      <c r="E138">
        <v>25.91</v>
      </c>
      <c r="F138">
        <v>6</v>
      </c>
      <c r="G138">
        <v>7.7729999999999997</v>
      </c>
      <c r="H138" s="5">
        <v>163.233</v>
      </c>
      <c r="I138" s="1">
        <v>43501</v>
      </c>
      <c r="J138" s="1">
        <v>0.42777777777777776</v>
      </c>
      <c r="K138" s="8" t="s">
        <v>23</v>
      </c>
      <c r="L138">
        <v>155.46</v>
      </c>
      <c r="M138">
        <v>7.7729999999999997</v>
      </c>
      <c r="N138">
        <v>8.6999999999999993</v>
      </c>
    </row>
    <row r="139" spans="1:14">
      <c r="A139" t="s">
        <v>818</v>
      </c>
      <c r="B139" s="8" t="s">
        <v>20</v>
      </c>
      <c r="C139" s="8" t="s">
        <v>1036</v>
      </c>
      <c r="D139" t="s">
        <v>46</v>
      </c>
      <c r="E139">
        <v>30.62</v>
      </c>
      <c r="F139">
        <v>1</v>
      </c>
      <c r="G139">
        <v>1.5309999999999999</v>
      </c>
      <c r="H139" s="5">
        <v>32.151000000000003</v>
      </c>
      <c r="I139" s="1">
        <v>43501</v>
      </c>
      <c r="J139" s="1">
        <v>0.59305555555555556</v>
      </c>
      <c r="K139" s="8" t="s">
        <v>33</v>
      </c>
      <c r="L139">
        <v>30.62</v>
      </c>
      <c r="M139">
        <v>1.5309999999999999</v>
      </c>
      <c r="N139">
        <v>4.0999999999999996</v>
      </c>
    </row>
    <row r="140" spans="1:14">
      <c r="A140" t="s">
        <v>629</v>
      </c>
      <c r="B140" s="8" t="s">
        <v>20</v>
      </c>
      <c r="C140" s="8" t="s">
        <v>1036</v>
      </c>
      <c r="D140" t="s">
        <v>36</v>
      </c>
      <c r="E140">
        <v>75.2</v>
      </c>
      <c r="F140">
        <v>3</v>
      </c>
      <c r="G140">
        <v>11.28</v>
      </c>
      <c r="H140" s="5">
        <v>236.88</v>
      </c>
      <c r="I140" s="1">
        <v>43501</v>
      </c>
      <c r="J140" s="1">
        <v>0.49375000000000002</v>
      </c>
      <c r="K140" s="8" t="s">
        <v>23</v>
      </c>
      <c r="L140">
        <v>225.6</v>
      </c>
      <c r="M140">
        <v>11.28</v>
      </c>
      <c r="N140">
        <v>4.8</v>
      </c>
    </row>
    <row r="141" spans="1:14">
      <c r="A141" t="s">
        <v>997</v>
      </c>
      <c r="B141" s="8" t="s">
        <v>20</v>
      </c>
      <c r="C141" s="8" t="s">
        <v>1037</v>
      </c>
      <c r="D141" t="s">
        <v>28</v>
      </c>
      <c r="E141">
        <v>20.89</v>
      </c>
      <c r="F141">
        <v>2</v>
      </c>
      <c r="G141">
        <v>2.089</v>
      </c>
      <c r="H141" s="5">
        <v>43.869</v>
      </c>
      <c r="I141" s="1">
        <v>43501</v>
      </c>
      <c r="J141" s="1">
        <v>0.78125</v>
      </c>
      <c r="K141" s="8" t="s">
        <v>29</v>
      </c>
      <c r="L141">
        <v>41.78</v>
      </c>
      <c r="M141">
        <v>2.089</v>
      </c>
      <c r="N141">
        <v>9.8000000000000007</v>
      </c>
    </row>
    <row r="142" spans="1:14">
      <c r="A142" t="s">
        <v>922</v>
      </c>
      <c r="B142" s="8" t="s">
        <v>20</v>
      </c>
      <c r="C142" s="8" t="s">
        <v>1037</v>
      </c>
      <c r="D142" t="s">
        <v>44</v>
      </c>
      <c r="E142">
        <v>87.9</v>
      </c>
      <c r="F142">
        <v>1</v>
      </c>
      <c r="G142">
        <v>4.3949999999999996</v>
      </c>
      <c r="H142" s="5">
        <v>92.295000000000002</v>
      </c>
      <c r="I142" s="1">
        <v>43501</v>
      </c>
      <c r="J142" s="1">
        <v>0.8208333333333333</v>
      </c>
      <c r="K142" s="8" t="s">
        <v>23</v>
      </c>
      <c r="L142">
        <v>87.9</v>
      </c>
      <c r="M142">
        <v>4.3949999999999996</v>
      </c>
      <c r="N142">
        <v>6.7</v>
      </c>
    </row>
    <row r="143" spans="1:14">
      <c r="A143" t="s">
        <v>751</v>
      </c>
      <c r="B143" s="8" t="s">
        <v>27</v>
      </c>
      <c r="C143" s="8" t="s">
        <v>1036</v>
      </c>
      <c r="D143" t="s">
        <v>22</v>
      </c>
      <c r="E143">
        <v>35.68</v>
      </c>
      <c r="F143">
        <v>5</v>
      </c>
      <c r="G143">
        <v>8.92</v>
      </c>
      <c r="H143" s="5">
        <v>187.32</v>
      </c>
      <c r="I143" s="1">
        <v>43502</v>
      </c>
      <c r="J143" s="1">
        <v>0.7729166666666667</v>
      </c>
      <c r="K143" s="8" t="s">
        <v>33</v>
      </c>
      <c r="L143">
        <v>178.4</v>
      </c>
      <c r="M143">
        <v>8.92</v>
      </c>
      <c r="N143">
        <v>6.6</v>
      </c>
    </row>
    <row r="144" spans="1:14">
      <c r="A144" t="s">
        <v>558</v>
      </c>
      <c r="B144" s="8" t="s">
        <v>20</v>
      </c>
      <c r="C144" s="8" t="s">
        <v>1036</v>
      </c>
      <c r="D144" t="s">
        <v>32</v>
      </c>
      <c r="E144">
        <v>37.44</v>
      </c>
      <c r="F144">
        <v>6</v>
      </c>
      <c r="G144">
        <v>11.231999999999999</v>
      </c>
      <c r="H144" s="5">
        <v>235.87200000000001</v>
      </c>
      <c r="I144" s="1">
        <v>43502</v>
      </c>
      <c r="J144" s="1">
        <v>0.57986111111111116</v>
      </c>
      <c r="K144" s="8" t="s">
        <v>33</v>
      </c>
      <c r="L144">
        <v>224.64</v>
      </c>
      <c r="M144">
        <v>11.231999999999999</v>
      </c>
      <c r="N144">
        <v>5.9</v>
      </c>
    </row>
    <row r="145" spans="1:14">
      <c r="A145" t="s">
        <v>646</v>
      </c>
      <c r="B145" s="8" t="s">
        <v>27</v>
      </c>
      <c r="C145" s="8" t="s">
        <v>1036</v>
      </c>
      <c r="D145" t="s">
        <v>28</v>
      </c>
      <c r="E145">
        <v>28.96</v>
      </c>
      <c r="F145">
        <v>1</v>
      </c>
      <c r="G145">
        <v>1.448</v>
      </c>
      <c r="H145" s="5">
        <v>30.408000000000001</v>
      </c>
      <c r="I145" s="1">
        <v>43503</v>
      </c>
      <c r="J145" s="1">
        <v>0.42916666666666664</v>
      </c>
      <c r="K145" s="8" t="s">
        <v>33</v>
      </c>
      <c r="L145">
        <v>28.96</v>
      </c>
      <c r="M145">
        <v>1.448</v>
      </c>
      <c r="N145">
        <v>6.2</v>
      </c>
    </row>
    <row r="146" spans="1:14">
      <c r="A146" t="s">
        <v>49</v>
      </c>
      <c r="B146" s="8" t="s">
        <v>27</v>
      </c>
      <c r="C146" s="8" t="s">
        <v>1037</v>
      </c>
      <c r="D146" t="s">
        <v>44</v>
      </c>
      <c r="E146">
        <v>43.19</v>
      </c>
      <c r="F146">
        <v>10</v>
      </c>
      <c r="G146">
        <v>21.594999999999999</v>
      </c>
      <c r="H146" s="5">
        <v>453.495</v>
      </c>
      <c r="I146" s="1">
        <v>43503</v>
      </c>
      <c r="J146" s="1">
        <v>0.7</v>
      </c>
      <c r="K146" s="8" t="s">
        <v>23</v>
      </c>
      <c r="L146">
        <v>431.9</v>
      </c>
      <c r="M146">
        <v>21.594999999999999</v>
      </c>
      <c r="N146">
        <v>8.1999999999999993</v>
      </c>
    </row>
    <row r="147" spans="1:14">
      <c r="A147" t="s">
        <v>948</v>
      </c>
      <c r="B147" s="8" t="s">
        <v>27</v>
      </c>
      <c r="C147" s="8" t="s">
        <v>1036</v>
      </c>
      <c r="D147" t="s">
        <v>32</v>
      </c>
      <c r="E147">
        <v>93.12</v>
      </c>
      <c r="F147">
        <v>8</v>
      </c>
      <c r="G147">
        <v>37.247999999999998</v>
      </c>
      <c r="H147" s="5">
        <v>782.20799999999997</v>
      </c>
      <c r="I147" s="1">
        <v>43503</v>
      </c>
      <c r="J147" s="1">
        <v>0.42291666666666666</v>
      </c>
      <c r="K147" s="8" t="s">
        <v>29</v>
      </c>
      <c r="L147">
        <v>744.96</v>
      </c>
      <c r="M147">
        <v>37.247999999999998</v>
      </c>
      <c r="N147">
        <v>6.8</v>
      </c>
    </row>
    <row r="148" spans="1:14">
      <c r="A148" t="s">
        <v>628</v>
      </c>
      <c r="B148" s="8" t="s">
        <v>20</v>
      </c>
      <c r="C148" s="8" t="s">
        <v>1036</v>
      </c>
      <c r="D148" t="s">
        <v>36</v>
      </c>
      <c r="E148">
        <v>45.58</v>
      </c>
      <c r="F148">
        <v>1</v>
      </c>
      <c r="G148">
        <v>2.2789999999999999</v>
      </c>
      <c r="H148" s="5">
        <v>47.859000000000002</v>
      </c>
      <c r="I148" s="1">
        <v>43503</v>
      </c>
      <c r="J148" s="1">
        <v>0.59236111111111112</v>
      </c>
      <c r="K148" s="8" t="s">
        <v>29</v>
      </c>
      <c r="L148">
        <v>45.58</v>
      </c>
      <c r="M148">
        <v>2.2789999999999999</v>
      </c>
      <c r="N148">
        <v>9.8000000000000007</v>
      </c>
    </row>
    <row r="149" spans="1:14">
      <c r="A149" t="s">
        <v>93</v>
      </c>
      <c r="B149" s="8" t="s">
        <v>27</v>
      </c>
      <c r="C149" s="8" t="s">
        <v>1037</v>
      </c>
      <c r="D149" t="s">
        <v>22</v>
      </c>
      <c r="E149">
        <v>89.6</v>
      </c>
      <c r="F149">
        <v>8</v>
      </c>
      <c r="G149">
        <v>35.840000000000003</v>
      </c>
      <c r="H149" s="5">
        <v>752.64</v>
      </c>
      <c r="I149" s="1">
        <v>43503</v>
      </c>
      <c r="J149" s="1">
        <v>0.4777777777777778</v>
      </c>
      <c r="K149" s="8" t="s">
        <v>23</v>
      </c>
      <c r="L149">
        <v>716.8</v>
      </c>
      <c r="M149">
        <v>35.840000000000003</v>
      </c>
      <c r="N149">
        <v>6.6</v>
      </c>
    </row>
    <row r="150" spans="1:14">
      <c r="A150" t="s">
        <v>768</v>
      </c>
      <c r="B150" s="8" t="s">
        <v>20</v>
      </c>
      <c r="C150" s="8" t="s">
        <v>1037</v>
      </c>
      <c r="D150" t="s">
        <v>46</v>
      </c>
      <c r="E150">
        <v>19.7</v>
      </c>
      <c r="F150">
        <v>1</v>
      </c>
      <c r="G150">
        <v>0.98499999999999999</v>
      </c>
      <c r="H150" s="5">
        <v>20.684999999999999</v>
      </c>
      <c r="I150" s="1">
        <v>43504</v>
      </c>
      <c r="J150" s="1">
        <v>0.48541666666666666</v>
      </c>
      <c r="K150" s="8" t="s">
        <v>23</v>
      </c>
      <c r="L150">
        <v>19.7</v>
      </c>
      <c r="M150">
        <v>0.98499999999999999</v>
      </c>
      <c r="N150">
        <v>9.5</v>
      </c>
    </row>
    <row r="151" spans="1:14">
      <c r="A151" t="s">
        <v>35</v>
      </c>
      <c r="B151" s="8" t="s">
        <v>27</v>
      </c>
      <c r="C151" s="8" t="s">
        <v>1037</v>
      </c>
      <c r="D151" t="s">
        <v>36</v>
      </c>
      <c r="E151">
        <v>86.31</v>
      </c>
      <c r="F151">
        <v>7</v>
      </c>
      <c r="G151">
        <v>30.208500000000001</v>
      </c>
      <c r="H151" s="5">
        <v>634.37850000000003</v>
      </c>
      <c r="I151" s="1">
        <v>43504</v>
      </c>
      <c r="J151" s="1">
        <v>0.44236111111111109</v>
      </c>
      <c r="K151" s="8" t="s">
        <v>23</v>
      </c>
      <c r="L151">
        <v>604.16999999999996</v>
      </c>
      <c r="M151">
        <v>30.208500000000001</v>
      </c>
      <c r="N151">
        <v>5.3</v>
      </c>
    </row>
    <row r="152" spans="1:14">
      <c r="A152" t="s">
        <v>203</v>
      </c>
      <c r="B152" s="8" t="s">
        <v>27</v>
      </c>
      <c r="C152" s="8" t="s">
        <v>1037</v>
      </c>
      <c r="D152" t="s">
        <v>46</v>
      </c>
      <c r="E152">
        <v>98.98</v>
      </c>
      <c r="F152">
        <v>10</v>
      </c>
      <c r="G152">
        <v>49.49</v>
      </c>
      <c r="H152" s="5">
        <v>1039.29</v>
      </c>
      <c r="I152" s="1">
        <v>43504</v>
      </c>
      <c r="J152" s="1">
        <v>0.68055555555555558</v>
      </c>
      <c r="K152" s="8" t="s">
        <v>33</v>
      </c>
      <c r="L152">
        <v>989.8</v>
      </c>
      <c r="M152">
        <v>49.49</v>
      </c>
      <c r="N152">
        <v>8.6999999999999993</v>
      </c>
    </row>
    <row r="153" spans="1:14">
      <c r="A153" t="s">
        <v>299</v>
      </c>
      <c r="B153" s="8" t="s">
        <v>20</v>
      </c>
      <c r="C153" s="8" t="s">
        <v>1036</v>
      </c>
      <c r="D153" t="s">
        <v>36</v>
      </c>
      <c r="E153">
        <v>22.24</v>
      </c>
      <c r="F153">
        <v>10</v>
      </c>
      <c r="G153">
        <v>11.12</v>
      </c>
      <c r="H153" s="5">
        <v>233.52</v>
      </c>
      <c r="I153" s="1">
        <v>43505</v>
      </c>
      <c r="J153" s="1">
        <v>0.45833333333333331</v>
      </c>
      <c r="K153" s="8" t="s">
        <v>29</v>
      </c>
      <c r="L153">
        <v>222.4</v>
      </c>
      <c r="M153">
        <v>11.12</v>
      </c>
      <c r="N153">
        <v>4.2</v>
      </c>
    </row>
    <row r="154" spans="1:14">
      <c r="A154" t="s">
        <v>935</v>
      </c>
      <c r="B154" s="8" t="s">
        <v>20</v>
      </c>
      <c r="C154" s="8" t="s">
        <v>1037</v>
      </c>
      <c r="D154" t="s">
        <v>44</v>
      </c>
      <c r="E154">
        <v>35.04</v>
      </c>
      <c r="F154">
        <v>9</v>
      </c>
      <c r="G154">
        <v>15.768000000000001</v>
      </c>
      <c r="H154" s="5">
        <v>331.12799999999999</v>
      </c>
      <c r="I154" s="1">
        <v>43505</v>
      </c>
      <c r="J154" s="1">
        <v>0.80347222222222225</v>
      </c>
      <c r="K154" s="8" t="s">
        <v>23</v>
      </c>
      <c r="L154">
        <v>315.36</v>
      </c>
      <c r="M154">
        <v>15.768000000000001</v>
      </c>
      <c r="N154">
        <v>4.5999999999999996</v>
      </c>
    </row>
    <row r="155" spans="1:14">
      <c r="A155" t="s">
        <v>1033</v>
      </c>
      <c r="B155" s="8" t="s">
        <v>20</v>
      </c>
      <c r="C155" s="8" t="s">
        <v>1037</v>
      </c>
      <c r="D155" t="s">
        <v>44</v>
      </c>
      <c r="E155">
        <v>31.84</v>
      </c>
      <c r="F155">
        <v>1</v>
      </c>
      <c r="G155">
        <v>1.5920000000000001</v>
      </c>
      <c r="H155" s="5">
        <v>33.432000000000002</v>
      </c>
      <c r="I155" s="1">
        <v>43505</v>
      </c>
      <c r="J155" s="1">
        <v>0.55694444444444446</v>
      </c>
      <c r="K155" s="8" t="s">
        <v>29</v>
      </c>
      <c r="L155">
        <v>31.84</v>
      </c>
      <c r="M155">
        <v>1.5920000000000001</v>
      </c>
      <c r="N155">
        <v>7.7</v>
      </c>
    </row>
    <row r="156" spans="1:14">
      <c r="A156" t="s">
        <v>87</v>
      </c>
      <c r="B156" s="8" t="s">
        <v>20</v>
      </c>
      <c r="C156" s="8" t="s">
        <v>1036</v>
      </c>
      <c r="D156" t="s">
        <v>44</v>
      </c>
      <c r="E156">
        <v>44.59</v>
      </c>
      <c r="F156">
        <v>5</v>
      </c>
      <c r="G156">
        <v>11.147500000000001</v>
      </c>
      <c r="H156" s="5">
        <v>234.0975</v>
      </c>
      <c r="I156" s="1">
        <v>43506</v>
      </c>
      <c r="J156" s="1">
        <v>0.63194444444444442</v>
      </c>
      <c r="K156" s="8" t="s">
        <v>29</v>
      </c>
      <c r="L156">
        <v>222.95</v>
      </c>
      <c r="M156">
        <v>11.147500000000001</v>
      </c>
      <c r="N156">
        <v>8.5</v>
      </c>
    </row>
    <row r="157" spans="1:14">
      <c r="A157" t="s">
        <v>182</v>
      </c>
      <c r="B157" s="8" t="s">
        <v>20</v>
      </c>
      <c r="C157" s="8" t="s">
        <v>1036</v>
      </c>
      <c r="D157" t="s">
        <v>46</v>
      </c>
      <c r="E157">
        <v>30.14</v>
      </c>
      <c r="F157">
        <v>10</v>
      </c>
      <c r="G157">
        <v>15.07</v>
      </c>
      <c r="H157" s="5">
        <v>316.47000000000003</v>
      </c>
      <c r="I157" s="1">
        <v>43506</v>
      </c>
      <c r="J157" s="1">
        <v>0.51944444444444449</v>
      </c>
      <c r="K157" s="8" t="s">
        <v>23</v>
      </c>
      <c r="L157">
        <v>301.39999999999998</v>
      </c>
      <c r="M157">
        <v>15.07</v>
      </c>
      <c r="N157">
        <v>9.1999999999999993</v>
      </c>
    </row>
    <row r="158" spans="1:14">
      <c r="A158" t="s">
        <v>642</v>
      </c>
      <c r="B158" s="8" t="s">
        <v>20</v>
      </c>
      <c r="C158" s="8" t="s">
        <v>1036</v>
      </c>
      <c r="D158" t="s">
        <v>46</v>
      </c>
      <c r="E158">
        <v>53.65</v>
      </c>
      <c r="F158">
        <v>7</v>
      </c>
      <c r="G158">
        <v>18.7775</v>
      </c>
      <c r="H158" s="5">
        <v>394.32749999999999</v>
      </c>
      <c r="I158" s="1">
        <v>43506</v>
      </c>
      <c r="J158" s="1">
        <v>0.53888888888888886</v>
      </c>
      <c r="K158" s="8" t="s">
        <v>23</v>
      </c>
      <c r="L158">
        <v>375.55</v>
      </c>
      <c r="M158">
        <v>18.7775</v>
      </c>
      <c r="N158">
        <v>5.2</v>
      </c>
    </row>
    <row r="159" spans="1:14">
      <c r="A159" t="s">
        <v>224</v>
      </c>
      <c r="B159" s="8" t="s">
        <v>27</v>
      </c>
      <c r="C159" s="8" t="s">
        <v>1037</v>
      </c>
      <c r="D159" t="s">
        <v>32</v>
      </c>
      <c r="E159">
        <v>74.069999999999993</v>
      </c>
      <c r="F159">
        <v>1</v>
      </c>
      <c r="G159">
        <v>3.7035</v>
      </c>
      <c r="H159" s="5">
        <v>77.773499999999999</v>
      </c>
      <c r="I159" s="1">
        <v>43506</v>
      </c>
      <c r="J159" s="1">
        <v>0.53472222222222221</v>
      </c>
      <c r="K159" s="8" t="s">
        <v>23</v>
      </c>
      <c r="L159">
        <v>74.069999999999993</v>
      </c>
      <c r="M159">
        <v>3.7035</v>
      </c>
      <c r="N159">
        <v>9.9</v>
      </c>
    </row>
    <row r="160" spans="1:14">
      <c r="A160" t="s">
        <v>817</v>
      </c>
      <c r="B160" s="8" t="s">
        <v>27</v>
      </c>
      <c r="C160" s="8" t="s">
        <v>1036</v>
      </c>
      <c r="D160" t="s">
        <v>36</v>
      </c>
      <c r="E160">
        <v>94.76</v>
      </c>
      <c r="F160">
        <v>4</v>
      </c>
      <c r="G160">
        <v>18.952000000000002</v>
      </c>
      <c r="H160" s="5">
        <v>397.99200000000002</v>
      </c>
      <c r="I160" s="1">
        <v>43507</v>
      </c>
      <c r="J160" s="1">
        <v>0.67083333333333328</v>
      </c>
      <c r="K160" s="8" t="s">
        <v>23</v>
      </c>
      <c r="L160">
        <v>379.04</v>
      </c>
      <c r="M160">
        <v>18.952000000000002</v>
      </c>
      <c r="N160">
        <v>7.8</v>
      </c>
    </row>
    <row r="161" spans="1:14">
      <c r="A161" t="s">
        <v>1009</v>
      </c>
      <c r="B161" s="8" t="s">
        <v>27</v>
      </c>
      <c r="C161" s="8" t="s">
        <v>1037</v>
      </c>
      <c r="D161" t="s">
        <v>32</v>
      </c>
      <c r="E161">
        <v>80.08</v>
      </c>
      <c r="F161">
        <v>3</v>
      </c>
      <c r="G161">
        <v>12.012</v>
      </c>
      <c r="H161" s="5">
        <v>252.25200000000001</v>
      </c>
      <c r="I161" s="1">
        <v>43507</v>
      </c>
      <c r="J161" s="1">
        <v>0.64513888888888893</v>
      </c>
      <c r="K161" s="8" t="s">
        <v>29</v>
      </c>
      <c r="L161">
        <v>240.24</v>
      </c>
      <c r="M161">
        <v>12.012</v>
      </c>
      <c r="N161">
        <v>5.4</v>
      </c>
    </row>
    <row r="162" spans="1:14">
      <c r="A162" t="s">
        <v>566</v>
      </c>
      <c r="B162" s="8" t="s">
        <v>27</v>
      </c>
      <c r="C162" s="8" t="s">
        <v>1037</v>
      </c>
      <c r="D162" t="s">
        <v>22</v>
      </c>
      <c r="E162">
        <v>25.43</v>
      </c>
      <c r="F162">
        <v>6</v>
      </c>
      <c r="G162">
        <v>7.6289999999999996</v>
      </c>
      <c r="H162" s="5">
        <v>160.209</v>
      </c>
      <c r="I162" s="1">
        <v>43508</v>
      </c>
      <c r="J162" s="1">
        <v>0.79236111111111107</v>
      </c>
      <c r="K162" s="8" t="s">
        <v>23</v>
      </c>
      <c r="L162">
        <v>152.58000000000001</v>
      </c>
      <c r="M162">
        <v>7.6289999999999996</v>
      </c>
      <c r="N162">
        <v>7</v>
      </c>
    </row>
    <row r="163" spans="1:14">
      <c r="A163" t="s">
        <v>48</v>
      </c>
      <c r="B163" s="8" t="s">
        <v>27</v>
      </c>
      <c r="C163" s="8" t="s">
        <v>1036</v>
      </c>
      <c r="D163" t="s">
        <v>28</v>
      </c>
      <c r="E163">
        <v>46.95</v>
      </c>
      <c r="F163">
        <v>5</v>
      </c>
      <c r="G163">
        <v>11.737500000000001</v>
      </c>
      <c r="H163" s="5">
        <v>246.48750000000001</v>
      </c>
      <c r="I163" s="1">
        <v>43508</v>
      </c>
      <c r="J163" s="1">
        <v>0.43402777777777779</v>
      </c>
      <c r="K163" s="8" t="s">
        <v>23</v>
      </c>
      <c r="L163">
        <v>234.75</v>
      </c>
      <c r="M163">
        <v>11.737500000000001</v>
      </c>
      <c r="N163">
        <v>7.1</v>
      </c>
    </row>
    <row r="164" spans="1:14">
      <c r="A164" t="s">
        <v>778</v>
      </c>
      <c r="B164" s="8" t="s">
        <v>20</v>
      </c>
      <c r="C164" s="8" t="s">
        <v>1036</v>
      </c>
      <c r="D164" t="s">
        <v>36</v>
      </c>
      <c r="E164">
        <v>71.63</v>
      </c>
      <c r="F164">
        <v>2</v>
      </c>
      <c r="G164">
        <v>7.1630000000000003</v>
      </c>
      <c r="H164" s="5">
        <v>150.423</v>
      </c>
      <c r="I164" s="1">
        <v>43508</v>
      </c>
      <c r="J164" s="1">
        <v>0.60624999999999996</v>
      </c>
      <c r="K164" s="8" t="s">
        <v>23</v>
      </c>
      <c r="L164">
        <v>143.26</v>
      </c>
      <c r="M164">
        <v>7.1630000000000003</v>
      </c>
      <c r="N164">
        <v>8.8000000000000007</v>
      </c>
    </row>
    <row r="165" spans="1:14">
      <c r="A165" t="s">
        <v>294</v>
      </c>
      <c r="B165" s="8" t="s">
        <v>20</v>
      </c>
      <c r="C165" s="8" t="s">
        <v>1037</v>
      </c>
      <c r="D165" t="s">
        <v>28</v>
      </c>
      <c r="E165">
        <v>32.25</v>
      </c>
      <c r="F165">
        <v>4</v>
      </c>
      <c r="G165">
        <v>6.45</v>
      </c>
      <c r="H165" s="5">
        <v>135.44999999999999</v>
      </c>
      <c r="I165" s="1">
        <v>43509</v>
      </c>
      <c r="J165" s="1">
        <v>0.52638888888888891</v>
      </c>
      <c r="K165" s="8" t="s">
        <v>23</v>
      </c>
      <c r="L165">
        <v>129</v>
      </c>
      <c r="M165">
        <v>6.45</v>
      </c>
      <c r="N165">
        <v>6.5</v>
      </c>
    </row>
    <row r="166" spans="1:14">
      <c r="A166" t="s">
        <v>428</v>
      </c>
      <c r="B166" s="8" t="s">
        <v>20</v>
      </c>
      <c r="C166" s="8" t="s">
        <v>1037</v>
      </c>
      <c r="D166" t="s">
        <v>28</v>
      </c>
      <c r="E166">
        <v>76.819999999999993</v>
      </c>
      <c r="F166">
        <v>1</v>
      </c>
      <c r="G166">
        <v>3.8410000000000002</v>
      </c>
      <c r="H166" s="5">
        <v>80.661000000000001</v>
      </c>
      <c r="I166" s="1">
        <v>43509</v>
      </c>
      <c r="J166" s="1">
        <v>0.76875000000000004</v>
      </c>
      <c r="K166" s="8" t="s">
        <v>23</v>
      </c>
      <c r="L166">
        <v>76.819999999999993</v>
      </c>
      <c r="M166">
        <v>3.8410000000000002</v>
      </c>
      <c r="N166">
        <v>7.2</v>
      </c>
    </row>
    <row r="167" spans="1:14">
      <c r="A167" t="s">
        <v>156</v>
      </c>
      <c r="B167" s="8" t="s">
        <v>27</v>
      </c>
      <c r="C167" s="8" t="s">
        <v>1036</v>
      </c>
      <c r="D167" t="s">
        <v>28</v>
      </c>
      <c r="E167">
        <v>99.56</v>
      </c>
      <c r="F167">
        <v>8</v>
      </c>
      <c r="G167">
        <v>39.823999999999998</v>
      </c>
      <c r="H167" s="5">
        <v>836.30399999999997</v>
      </c>
      <c r="I167" s="1">
        <v>43510</v>
      </c>
      <c r="J167" s="1">
        <v>0.7104166666666667</v>
      </c>
      <c r="K167" s="8" t="s">
        <v>33</v>
      </c>
      <c r="L167">
        <v>796.48</v>
      </c>
      <c r="M167">
        <v>39.823999999999998</v>
      </c>
      <c r="N167">
        <v>5.2</v>
      </c>
    </row>
    <row r="168" spans="1:14">
      <c r="A168" t="s">
        <v>380</v>
      </c>
      <c r="B168" s="8" t="s">
        <v>27</v>
      </c>
      <c r="C168" s="8" t="s">
        <v>1037</v>
      </c>
      <c r="D168" t="s">
        <v>36</v>
      </c>
      <c r="E168">
        <v>44.65</v>
      </c>
      <c r="F168">
        <v>3</v>
      </c>
      <c r="G168">
        <v>6.6974999999999998</v>
      </c>
      <c r="H168" s="5">
        <v>140.64750000000001</v>
      </c>
      <c r="I168" s="1">
        <v>43510</v>
      </c>
      <c r="J168" s="1">
        <v>0.62777777777777777</v>
      </c>
      <c r="K168" s="8" t="s">
        <v>29</v>
      </c>
      <c r="L168">
        <v>133.94999999999999</v>
      </c>
      <c r="M168">
        <v>6.6974999999999998</v>
      </c>
      <c r="N168">
        <v>6.2</v>
      </c>
    </row>
    <row r="169" spans="1:14">
      <c r="A169" t="s">
        <v>869</v>
      </c>
      <c r="B169" s="8" t="s">
        <v>20</v>
      </c>
      <c r="C169" s="8" t="s">
        <v>1037</v>
      </c>
      <c r="D169" t="s">
        <v>22</v>
      </c>
      <c r="E169">
        <v>91.3</v>
      </c>
      <c r="F169">
        <v>1</v>
      </c>
      <c r="G169">
        <v>4.5650000000000004</v>
      </c>
      <c r="H169" s="5">
        <v>95.864999999999995</v>
      </c>
      <c r="I169" s="1">
        <v>43510</v>
      </c>
      <c r="J169" s="1">
        <v>0.61250000000000004</v>
      </c>
      <c r="K169" s="8" t="s">
        <v>23</v>
      </c>
      <c r="L169">
        <v>91.3</v>
      </c>
      <c r="M169">
        <v>4.5650000000000004</v>
      </c>
      <c r="N169">
        <v>9.1999999999999993</v>
      </c>
    </row>
    <row r="170" spans="1:14">
      <c r="A170" t="s">
        <v>632</v>
      </c>
      <c r="B170" s="8" t="s">
        <v>27</v>
      </c>
      <c r="C170" s="8" t="s">
        <v>1037</v>
      </c>
      <c r="D170" t="s">
        <v>44</v>
      </c>
      <c r="E170">
        <v>52.2</v>
      </c>
      <c r="F170">
        <v>3</v>
      </c>
      <c r="G170">
        <v>7.83</v>
      </c>
      <c r="H170" s="5">
        <v>164.43</v>
      </c>
      <c r="I170" s="1">
        <v>43511</v>
      </c>
      <c r="J170" s="1">
        <v>0.5625</v>
      </c>
      <c r="K170" s="8" t="s">
        <v>33</v>
      </c>
      <c r="L170">
        <v>156.6</v>
      </c>
      <c r="M170">
        <v>7.83</v>
      </c>
      <c r="N170">
        <v>9.5</v>
      </c>
    </row>
    <row r="171" spans="1:14">
      <c r="A171" t="s">
        <v>358</v>
      </c>
      <c r="B171" s="8" t="s">
        <v>27</v>
      </c>
      <c r="C171" s="8" t="s">
        <v>1037</v>
      </c>
      <c r="D171" t="s">
        <v>22</v>
      </c>
      <c r="E171">
        <v>15.26</v>
      </c>
      <c r="F171">
        <v>6</v>
      </c>
      <c r="G171">
        <v>4.5780000000000003</v>
      </c>
      <c r="H171" s="5">
        <v>96.138000000000005</v>
      </c>
      <c r="I171" s="1">
        <v>43511</v>
      </c>
      <c r="J171" s="1">
        <v>0.75208333333333333</v>
      </c>
      <c r="K171" s="8" t="s">
        <v>23</v>
      </c>
      <c r="L171">
        <v>91.56</v>
      </c>
      <c r="M171">
        <v>4.5780000000000003</v>
      </c>
      <c r="N171">
        <v>9.8000000000000007</v>
      </c>
    </row>
    <row r="172" spans="1:14">
      <c r="A172" t="s">
        <v>876</v>
      </c>
      <c r="B172" s="8" t="s">
        <v>27</v>
      </c>
      <c r="C172" s="8" t="s">
        <v>1037</v>
      </c>
      <c r="D172" t="s">
        <v>46</v>
      </c>
      <c r="E172">
        <v>51.94</v>
      </c>
      <c r="F172">
        <v>3</v>
      </c>
      <c r="G172">
        <v>7.7910000000000004</v>
      </c>
      <c r="H172" s="5">
        <v>163.61099999999999</v>
      </c>
      <c r="I172" s="1">
        <v>43511</v>
      </c>
      <c r="J172" s="1">
        <v>0.63958333333333328</v>
      </c>
      <c r="K172" s="8" t="s">
        <v>29</v>
      </c>
      <c r="L172">
        <v>155.82</v>
      </c>
      <c r="M172">
        <v>7.7910000000000004</v>
      </c>
      <c r="N172">
        <v>7.9</v>
      </c>
    </row>
    <row r="173" spans="1:14">
      <c r="A173" t="s">
        <v>316</v>
      </c>
      <c r="B173" s="8" t="s">
        <v>27</v>
      </c>
      <c r="C173" s="8" t="s">
        <v>1036</v>
      </c>
      <c r="D173" t="s">
        <v>32</v>
      </c>
      <c r="E173">
        <v>69.959999999999994</v>
      </c>
      <c r="F173">
        <v>8</v>
      </c>
      <c r="G173">
        <v>27.984000000000002</v>
      </c>
      <c r="H173" s="5">
        <v>587.66399999999999</v>
      </c>
      <c r="I173" s="1">
        <v>43511</v>
      </c>
      <c r="J173" s="1">
        <v>0.70902777777777781</v>
      </c>
      <c r="K173" s="8" t="s">
        <v>33</v>
      </c>
      <c r="L173">
        <v>559.67999999999995</v>
      </c>
      <c r="M173">
        <v>27.984000000000002</v>
      </c>
      <c r="N173">
        <v>6.4</v>
      </c>
    </row>
    <row r="174" spans="1:14">
      <c r="A174" t="s">
        <v>725</v>
      </c>
      <c r="B174" s="8" t="s">
        <v>27</v>
      </c>
      <c r="C174" s="8" t="s">
        <v>1036</v>
      </c>
      <c r="D174" t="s">
        <v>44</v>
      </c>
      <c r="E174">
        <v>67.099999999999994</v>
      </c>
      <c r="F174">
        <v>3</v>
      </c>
      <c r="G174">
        <v>10.065</v>
      </c>
      <c r="H174" s="5">
        <v>211.36500000000001</v>
      </c>
      <c r="I174" s="1">
        <v>43511</v>
      </c>
      <c r="J174" s="1">
        <v>0.44166666666666665</v>
      </c>
      <c r="K174" s="8" t="s">
        <v>29</v>
      </c>
      <c r="L174">
        <v>201.3</v>
      </c>
      <c r="M174">
        <v>10.065</v>
      </c>
      <c r="N174">
        <v>7.5</v>
      </c>
    </row>
    <row r="175" spans="1:14">
      <c r="A175" t="s">
        <v>906</v>
      </c>
      <c r="B175" s="8" t="s">
        <v>20</v>
      </c>
      <c r="C175" s="8" t="s">
        <v>1037</v>
      </c>
      <c r="D175" t="s">
        <v>44</v>
      </c>
      <c r="E175">
        <v>24.82</v>
      </c>
      <c r="F175">
        <v>7</v>
      </c>
      <c r="G175">
        <v>8.6869999999999994</v>
      </c>
      <c r="H175" s="5">
        <v>182.42699999999999</v>
      </c>
      <c r="I175" s="1">
        <v>43512</v>
      </c>
      <c r="J175" s="1">
        <v>0.43958333333333333</v>
      </c>
      <c r="K175" s="8" t="s">
        <v>33</v>
      </c>
      <c r="L175">
        <v>173.74</v>
      </c>
      <c r="M175">
        <v>8.6869999999999994</v>
      </c>
      <c r="N175">
        <v>7.1</v>
      </c>
    </row>
    <row r="176" spans="1:14">
      <c r="A176" t="s">
        <v>343</v>
      </c>
      <c r="B176" s="8" t="s">
        <v>20</v>
      </c>
      <c r="C176" s="8" t="s">
        <v>1036</v>
      </c>
      <c r="D176" t="s">
        <v>32</v>
      </c>
      <c r="E176">
        <v>88.79</v>
      </c>
      <c r="F176">
        <v>8</v>
      </c>
      <c r="G176">
        <v>35.515999999999998</v>
      </c>
      <c r="H176" s="5">
        <v>745.83600000000001</v>
      </c>
      <c r="I176" s="1">
        <v>43513</v>
      </c>
      <c r="J176" s="1">
        <v>0.71458333333333335</v>
      </c>
      <c r="K176" s="8" t="s">
        <v>29</v>
      </c>
      <c r="L176">
        <v>710.32</v>
      </c>
      <c r="M176">
        <v>35.515999999999998</v>
      </c>
      <c r="N176">
        <v>4.0999999999999996</v>
      </c>
    </row>
    <row r="177" spans="1:14">
      <c r="A177" t="s">
        <v>754</v>
      </c>
      <c r="B177" s="8" t="s">
        <v>27</v>
      </c>
      <c r="C177" s="8" t="s">
        <v>1037</v>
      </c>
      <c r="D177" t="s">
        <v>46</v>
      </c>
      <c r="E177">
        <v>45.38</v>
      </c>
      <c r="F177">
        <v>3</v>
      </c>
      <c r="G177">
        <v>6.8070000000000004</v>
      </c>
      <c r="H177" s="5">
        <v>142.947</v>
      </c>
      <c r="I177" s="1">
        <v>43513</v>
      </c>
      <c r="J177" s="1">
        <v>0.56527777777777777</v>
      </c>
      <c r="K177" s="8" t="s">
        <v>33</v>
      </c>
      <c r="L177">
        <v>136.13999999999999</v>
      </c>
      <c r="M177">
        <v>6.8070000000000004</v>
      </c>
      <c r="N177">
        <v>7.2</v>
      </c>
    </row>
    <row r="178" spans="1:14">
      <c r="A178" t="s">
        <v>367</v>
      </c>
      <c r="B178" s="8" t="s">
        <v>27</v>
      </c>
      <c r="C178" s="8" t="s">
        <v>1037</v>
      </c>
      <c r="D178" t="s">
        <v>44</v>
      </c>
      <c r="E178">
        <v>32.9</v>
      </c>
      <c r="F178">
        <v>3</v>
      </c>
      <c r="G178">
        <v>4.9349999999999996</v>
      </c>
      <c r="H178" s="5">
        <v>103.63500000000001</v>
      </c>
      <c r="I178" s="1">
        <v>43513</v>
      </c>
      <c r="J178" s="1">
        <v>0.7270833333333333</v>
      </c>
      <c r="K178" s="8" t="s">
        <v>33</v>
      </c>
      <c r="L178">
        <v>98.7</v>
      </c>
      <c r="M178">
        <v>4.9349999999999996</v>
      </c>
      <c r="N178">
        <v>9.1</v>
      </c>
    </row>
    <row r="179" spans="1:14">
      <c r="A179" t="s">
        <v>396</v>
      </c>
      <c r="B179" s="8" t="s">
        <v>20</v>
      </c>
      <c r="C179" s="8" t="s">
        <v>1037</v>
      </c>
      <c r="D179" t="s">
        <v>44</v>
      </c>
      <c r="E179">
        <v>80.959999999999994</v>
      </c>
      <c r="F179">
        <v>8</v>
      </c>
      <c r="G179">
        <v>32.384</v>
      </c>
      <c r="H179" s="5">
        <v>680.06399999999996</v>
      </c>
      <c r="I179" s="1">
        <v>43513</v>
      </c>
      <c r="J179" s="1">
        <v>0.46666666666666667</v>
      </c>
      <c r="K179" s="8" t="s">
        <v>33</v>
      </c>
      <c r="L179">
        <v>647.67999999999995</v>
      </c>
      <c r="M179">
        <v>32.384</v>
      </c>
      <c r="N179">
        <v>7.4</v>
      </c>
    </row>
    <row r="180" spans="1:14">
      <c r="A180" t="s">
        <v>59</v>
      </c>
      <c r="B180" s="8" t="s">
        <v>27</v>
      </c>
      <c r="C180" s="8" t="s">
        <v>1037</v>
      </c>
      <c r="D180" t="s">
        <v>28</v>
      </c>
      <c r="E180">
        <v>34.56</v>
      </c>
      <c r="F180">
        <v>5</v>
      </c>
      <c r="G180">
        <v>8.64</v>
      </c>
      <c r="H180" s="5">
        <v>181.44</v>
      </c>
      <c r="I180" s="1">
        <v>43513</v>
      </c>
      <c r="J180" s="1">
        <v>0.46875</v>
      </c>
      <c r="K180" s="8" t="s">
        <v>23</v>
      </c>
      <c r="L180">
        <v>172.8</v>
      </c>
      <c r="M180">
        <v>8.64</v>
      </c>
      <c r="N180">
        <v>9.9</v>
      </c>
    </row>
    <row r="181" spans="1:14">
      <c r="A181" t="s">
        <v>974</v>
      </c>
      <c r="B181" s="8" t="s">
        <v>20</v>
      </c>
      <c r="C181" s="8" t="s">
        <v>1036</v>
      </c>
      <c r="D181" t="s">
        <v>22</v>
      </c>
      <c r="E181">
        <v>92.09</v>
      </c>
      <c r="F181">
        <v>3</v>
      </c>
      <c r="G181">
        <v>13.813499999999999</v>
      </c>
      <c r="H181" s="5">
        <v>290.08350000000002</v>
      </c>
      <c r="I181" s="1">
        <v>43513</v>
      </c>
      <c r="J181" s="1">
        <v>0.68541666666666667</v>
      </c>
      <c r="K181" s="8" t="s">
        <v>29</v>
      </c>
      <c r="L181">
        <v>276.27</v>
      </c>
      <c r="M181">
        <v>13.813499999999999</v>
      </c>
      <c r="N181">
        <v>4.2</v>
      </c>
    </row>
    <row r="182" spans="1:14">
      <c r="A182" t="s">
        <v>565</v>
      </c>
      <c r="B182" s="8" t="s">
        <v>27</v>
      </c>
      <c r="C182" s="8" t="s">
        <v>1037</v>
      </c>
      <c r="D182" t="s">
        <v>36</v>
      </c>
      <c r="E182">
        <v>98.09</v>
      </c>
      <c r="F182">
        <v>9</v>
      </c>
      <c r="G182">
        <v>44.140500000000003</v>
      </c>
      <c r="H182" s="5">
        <v>926.95050000000003</v>
      </c>
      <c r="I182" s="1">
        <v>43513</v>
      </c>
      <c r="J182" s="1">
        <v>0.82013888888888886</v>
      </c>
      <c r="K182" s="8" t="s">
        <v>29</v>
      </c>
      <c r="L182">
        <v>882.81</v>
      </c>
      <c r="M182">
        <v>44.140500000000003</v>
      </c>
      <c r="N182">
        <v>9.3000000000000007</v>
      </c>
    </row>
    <row r="183" spans="1:14">
      <c r="A183" t="s">
        <v>1035</v>
      </c>
      <c r="B183" s="8" t="s">
        <v>20</v>
      </c>
      <c r="C183" s="8" t="s">
        <v>1036</v>
      </c>
      <c r="D183" t="s">
        <v>46</v>
      </c>
      <c r="E183">
        <v>88.34</v>
      </c>
      <c r="F183">
        <v>7</v>
      </c>
      <c r="G183">
        <v>30.919</v>
      </c>
      <c r="H183" s="5">
        <v>649.29899999999998</v>
      </c>
      <c r="I183" s="1">
        <v>43514</v>
      </c>
      <c r="J183" s="1">
        <v>0.56111111111111112</v>
      </c>
      <c r="K183" s="8" t="s">
        <v>29</v>
      </c>
      <c r="L183">
        <v>618.38</v>
      </c>
      <c r="M183">
        <v>30.919</v>
      </c>
      <c r="N183">
        <v>6.6</v>
      </c>
    </row>
    <row r="184" spans="1:14">
      <c r="A184" t="s">
        <v>173</v>
      </c>
      <c r="B184" s="8" t="s">
        <v>20</v>
      </c>
      <c r="C184" s="8" t="s">
        <v>1036</v>
      </c>
      <c r="D184" t="s">
        <v>32</v>
      </c>
      <c r="E184">
        <v>34.42</v>
      </c>
      <c r="F184">
        <v>6</v>
      </c>
      <c r="G184">
        <v>10.326000000000001</v>
      </c>
      <c r="H184" s="5">
        <v>216.846</v>
      </c>
      <c r="I184" s="1">
        <v>43514</v>
      </c>
      <c r="J184" s="1">
        <v>0.65208333333333335</v>
      </c>
      <c r="K184" s="8" t="s">
        <v>29</v>
      </c>
      <c r="L184">
        <v>206.52</v>
      </c>
      <c r="M184">
        <v>10.326000000000001</v>
      </c>
      <c r="N184">
        <v>9.8000000000000007</v>
      </c>
    </row>
    <row r="185" spans="1:14">
      <c r="A185" t="s">
        <v>328</v>
      </c>
      <c r="B185" s="8" t="s">
        <v>20</v>
      </c>
      <c r="C185" s="8" t="s">
        <v>1036</v>
      </c>
      <c r="D185" t="s">
        <v>28</v>
      </c>
      <c r="E185">
        <v>62.48</v>
      </c>
      <c r="F185">
        <v>1</v>
      </c>
      <c r="G185">
        <v>3.1240000000000001</v>
      </c>
      <c r="H185" s="5">
        <v>65.603999999999999</v>
      </c>
      <c r="I185" s="1">
        <v>43514</v>
      </c>
      <c r="J185" s="1">
        <v>0.85347222222222219</v>
      </c>
      <c r="K185" s="8" t="s">
        <v>29</v>
      </c>
      <c r="L185">
        <v>62.48</v>
      </c>
      <c r="M185">
        <v>3.1240000000000001</v>
      </c>
      <c r="N185">
        <v>4.7</v>
      </c>
    </row>
    <row r="186" spans="1:14">
      <c r="A186" t="s">
        <v>979</v>
      </c>
      <c r="B186" s="8" t="s">
        <v>27</v>
      </c>
      <c r="C186" s="8" t="s">
        <v>1037</v>
      </c>
      <c r="D186" t="s">
        <v>22</v>
      </c>
      <c r="E186">
        <v>50.79</v>
      </c>
      <c r="F186">
        <v>5</v>
      </c>
      <c r="G186">
        <v>12.6975</v>
      </c>
      <c r="H186" s="5">
        <v>266.64749999999998</v>
      </c>
      <c r="I186" s="1">
        <v>43515</v>
      </c>
      <c r="J186" s="1">
        <v>0.62013888888888891</v>
      </c>
      <c r="K186" s="8" t="s">
        <v>33</v>
      </c>
      <c r="L186">
        <v>253.95</v>
      </c>
      <c r="M186">
        <v>12.6975</v>
      </c>
      <c r="N186">
        <v>5.3</v>
      </c>
    </row>
    <row r="187" spans="1:14">
      <c r="A187" t="s">
        <v>887</v>
      </c>
      <c r="B187" s="8" t="s">
        <v>27</v>
      </c>
      <c r="C187" s="8" t="s">
        <v>1036</v>
      </c>
      <c r="D187" t="s">
        <v>46</v>
      </c>
      <c r="E187">
        <v>98.48</v>
      </c>
      <c r="F187">
        <v>2</v>
      </c>
      <c r="G187">
        <v>9.8480000000000008</v>
      </c>
      <c r="H187" s="5">
        <v>206.80799999999999</v>
      </c>
      <c r="I187" s="1">
        <v>43515</v>
      </c>
      <c r="J187" s="1">
        <v>0.42499999999999999</v>
      </c>
      <c r="K187" s="8" t="s">
        <v>23</v>
      </c>
      <c r="L187">
        <v>196.96</v>
      </c>
      <c r="M187">
        <v>9.8480000000000008</v>
      </c>
      <c r="N187">
        <v>9.1999999999999993</v>
      </c>
    </row>
    <row r="188" spans="1:14">
      <c r="A188" t="s">
        <v>734</v>
      </c>
      <c r="B188" s="8" t="s">
        <v>20</v>
      </c>
      <c r="C188" s="8" t="s">
        <v>1037</v>
      </c>
      <c r="D188" t="s">
        <v>28</v>
      </c>
      <c r="E188">
        <v>69.58</v>
      </c>
      <c r="F188">
        <v>9</v>
      </c>
      <c r="G188">
        <v>31.311</v>
      </c>
      <c r="H188" s="5">
        <v>657.53099999999995</v>
      </c>
      <c r="I188" s="1">
        <v>43515</v>
      </c>
      <c r="J188" s="1">
        <v>0.81805555555555554</v>
      </c>
      <c r="K188" s="8" t="s">
        <v>33</v>
      </c>
      <c r="L188">
        <v>626.22</v>
      </c>
      <c r="M188">
        <v>31.311</v>
      </c>
      <c r="N188">
        <v>7.8</v>
      </c>
    </row>
    <row r="189" spans="1:14">
      <c r="A189" t="s">
        <v>995</v>
      </c>
      <c r="B189" s="8" t="s">
        <v>20</v>
      </c>
      <c r="C189" s="8" t="s">
        <v>1036</v>
      </c>
      <c r="D189" t="s">
        <v>44</v>
      </c>
      <c r="E189">
        <v>98.66</v>
      </c>
      <c r="F189">
        <v>9</v>
      </c>
      <c r="G189">
        <v>44.396999999999998</v>
      </c>
      <c r="H189" s="5">
        <v>932.33699999999999</v>
      </c>
      <c r="I189" s="1">
        <v>43515</v>
      </c>
      <c r="J189" s="1">
        <v>0.62986111111111109</v>
      </c>
      <c r="K189" s="8" t="s">
        <v>29</v>
      </c>
      <c r="L189">
        <v>887.94</v>
      </c>
      <c r="M189">
        <v>44.396999999999998</v>
      </c>
      <c r="N189">
        <v>8.4</v>
      </c>
    </row>
    <row r="190" spans="1:14">
      <c r="A190" t="s">
        <v>423</v>
      </c>
      <c r="B190" s="8" t="s">
        <v>27</v>
      </c>
      <c r="C190" s="8" t="s">
        <v>1036</v>
      </c>
      <c r="D190" t="s">
        <v>22</v>
      </c>
      <c r="E190">
        <v>32.32</v>
      </c>
      <c r="F190">
        <v>10</v>
      </c>
      <c r="G190">
        <v>16.16</v>
      </c>
      <c r="H190" s="5">
        <v>339.36</v>
      </c>
      <c r="I190" s="1">
        <v>43516</v>
      </c>
      <c r="J190" s="1">
        <v>0.7006944444444444</v>
      </c>
      <c r="K190" s="8" t="s">
        <v>33</v>
      </c>
      <c r="L190">
        <v>323.2</v>
      </c>
      <c r="M190">
        <v>16.16</v>
      </c>
      <c r="N190">
        <v>10</v>
      </c>
    </row>
    <row r="191" spans="1:14">
      <c r="A191" t="s">
        <v>191</v>
      </c>
      <c r="B191" s="8" t="s">
        <v>20</v>
      </c>
      <c r="C191" s="8" t="s">
        <v>1037</v>
      </c>
      <c r="D191" t="s">
        <v>44</v>
      </c>
      <c r="E191">
        <v>92.29</v>
      </c>
      <c r="F191">
        <v>5</v>
      </c>
      <c r="G191">
        <v>23.072500000000002</v>
      </c>
      <c r="H191" s="5">
        <v>484.52249999999998</v>
      </c>
      <c r="I191" s="1">
        <v>43516</v>
      </c>
      <c r="J191" s="1">
        <v>0.66319444444444442</v>
      </c>
      <c r="K191" s="8" t="s">
        <v>33</v>
      </c>
      <c r="L191">
        <v>461.45</v>
      </c>
      <c r="M191">
        <v>23.072500000000002</v>
      </c>
      <c r="N191">
        <v>9</v>
      </c>
    </row>
    <row r="192" spans="1:14">
      <c r="A192" t="s">
        <v>779</v>
      </c>
      <c r="B192" s="8" t="s">
        <v>20</v>
      </c>
      <c r="C192" s="8" t="s">
        <v>1037</v>
      </c>
      <c r="D192" t="s">
        <v>32</v>
      </c>
      <c r="E192">
        <v>37.69</v>
      </c>
      <c r="F192">
        <v>2</v>
      </c>
      <c r="G192">
        <v>3.7690000000000001</v>
      </c>
      <c r="H192" s="5">
        <v>79.149000000000001</v>
      </c>
      <c r="I192" s="1">
        <v>43516</v>
      </c>
      <c r="J192" s="1">
        <v>0.64513888888888893</v>
      </c>
      <c r="K192" s="8" t="s">
        <v>23</v>
      </c>
      <c r="L192">
        <v>75.38</v>
      </c>
      <c r="M192">
        <v>3.7690000000000001</v>
      </c>
      <c r="N192">
        <v>9.5</v>
      </c>
    </row>
    <row r="193" spans="1:14">
      <c r="A193" t="s">
        <v>253</v>
      </c>
      <c r="B193" s="8" t="s">
        <v>20</v>
      </c>
      <c r="C193" s="8" t="s">
        <v>1036</v>
      </c>
      <c r="D193" t="s">
        <v>28</v>
      </c>
      <c r="E193">
        <v>94.64</v>
      </c>
      <c r="F193">
        <v>3</v>
      </c>
      <c r="G193">
        <v>14.196</v>
      </c>
      <c r="H193" s="5">
        <v>298.11599999999999</v>
      </c>
      <c r="I193" s="1">
        <v>43517</v>
      </c>
      <c r="J193" s="1">
        <v>0.70486111111111116</v>
      </c>
      <c r="K193" s="8" t="s">
        <v>29</v>
      </c>
      <c r="L193">
        <v>283.92</v>
      </c>
      <c r="M193">
        <v>14.196</v>
      </c>
      <c r="N193">
        <v>5.5</v>
      </c>
    </row>
    <row r="194" spans="1:14">
      <c r="A194" t="s">
        <v>1034</v>
      </c>
      <c r="B194" s="8" t="s">
        <v>27</v>
      </c>
      <c r="C194" s="8" t="s">
        <v>1037</v>
      </c>
      <c r="D194" t="s">
        <v>32</v>
      </c>
      <c r="E194">
        <v>65.819999999999993</v>
      </c>
      <c r="F194">
        <v>1</v>
      </c>
      <c r="G194">
        <v>3.2909999999999999</v>
      </c>
      <c r="H194" s="5">
        <v>69.111000000000004</v>
      </c>
      <c r="I194" s="1">
        <v>43518</v>
      </c>
      <c r="J194" s="1">
        <v>0.6479166666666667</v>
      </c>
      <c r="K194" s="8" t="s">
        <v>29</v>
      </c>
      <c r="L194">
        <v>65.819999999999993</v>
      </c>
      <c r="M194">
        <v>3.2909999999999999</v>
      </c>
      <c r="N194">
        <v>4.0999999999999996</v>
      </c>
    </row>
    <row r="195" spans="1:14">
      <c r="A195" t="s">
        <v>833</v>
      </c>
      <c r="B195" s="8" t="s">
        <v>20</v>
      </c>
      <c r="C195" s="8" t="s">
        <v>1036</v>
      </c>
      <c r="D195" t="s">
        <v>36</v>
      </c>
      <c r="E195">
        <v>24.49</v>
      </c>
      <c r="F195">
        <v>10</v>
      </c>
      <c r="G195">
        <v>12.244999999999999</v>
      </c>
      <c r="H195" s="5">
        <v>257.14499999999998</v>
      </c>
      <c r="I195" s="1">
        <v>43518</v>
      </c>
      <c r="J195" s="1">
        <v>0.63541666666666663</v>
      </c>
      <c r="K195" s="8" t="s">
        <v>29</v>
      </c>
      <c r="L195">
        <v>244.9</v>
      </c>
      <c r="M195">
        <v>12.244999999999999</v>
      </c>
      <c r="N195">
        <v>8.1</v>
      </c>
    </row>
    <row r="196" spans="1:14">
      <c r="A196" t="s">
        <v>788</v>
      </c>
      <c r="B196" s="8" t="s">
        <v>20</v>
      </c>
      <c r="C196" s="8" t="s">
        <v>1036</v>
      </c>
      <c r="D196" t="s">
        <v>28</v>
      </c>
      <c r="E196">
        <v>17.420000000000002</v>
      </c>
      <c r="F196">
        <v>10</v>
      </c>
      <c r="G196">
        <v>8.7100000000000009</v>
      </c>
      <c r="H196" s="5">
        <v>182.91</v>
      </c>
      <c r="I196" s="1">
        <v>43518</v>
      </c>
      <c r="J196" s="1">
        <v>0.52083333333333337</v>
      </c>
      <c r="K196" s="8" t="s">
        <v>23</v>
      </c>
      <c r="L196">
        <v>174.2</v>
      </c>
      <c r="M196">
        <v>8.7100000000000009</v>
      </c>
      <c r="N196">
        <v>7</v>
      </c>
    </row>
    <row r="197" spans="1:14">
      <c r="A197" t="s">
        <v>713</v>
      </c>
      <c r="B197" s="8" t="s">
        <v>20</v>
      </c>
      <c r="C197" s="8" t="s">
        <v>1036</v>
      </c>
      <c r="D197" t="s">
        <v>44</v>
      </c>
      <c r="E197">
        <v>73.47</v>
      </c>
      <c r="F197">
        <v>4</v>
      </c>
      <c r="G197">
        <v>14.694000000000001</v>
      </c>
      <c r="H197" s="5">
        <v>308.57400000000001</v>
      </c>
      <c r="I197" s="1">
        <v>43519</v>
      </c>
      <c r="J197" s="1">
        <v>0.77083333333333337</v>
      </c>
      <c r="K197" s="8" t="s">
        <v>29</v>
      </c>
      <c r="L197">
        <v>293.88</v>
      </c>
      <c r="M197">
        <v>14.694000000000001</v>
      </c>
      <c r="N197">
        <v>6</v>
      </c>
    </row>
    <row r="198" spans="1:14">
      <c r="A198" t="s">
        <v>847</v>
      </c>
      <c r="B198" s="8" t="s">
        <v>27</v>
      </c>
      <c r="C198" s="8" t="s">
        <v>1036</v>
      </c>
      <c r="D198" t="s">
        <v>28</v>
      </c>
      <c r="E198">
        <v>40.26</v>
      </c>
      <c r="F198">
        <v>10</v>
      </c>
      <c r="G198">
        <v>20.13</v>
      </c>
      <c r="H198" s="5">
        <v>422.73</v>
      </c>
      <c r="I198" s="1">
        <v>43520</v>
      </c>
      <c r="J198" s="1">
        <v>0.75416666666666665</v>
      </c>
      <c r="K198" s="8" t="s">
        <v>33</v>
      </c>
      <c r="L198">
        <v>402.6</v>
      </c>
      <c r="M198">
        <v>20.13</v>
      </c>
      <c r="N198">
        <v>5</v>
      </c>
    </row>
    <row r="199" spans="1:14">
      <c r="A199" t="s">
        <v>857</v>
      </c>
      <c r="B199" s="8" t="s">
        <v>20</v>
      </c>
      <c r="C199" s="8" t="s">
        <v>1036</v>
      </c>
      <c r="D199" t="s">
        <v>32</v>
      </c>
      <c r="E199">
        <v>47.68</v>
      </c>
      <c r="F199">
        <v>2</v>
      </c>
      <c r="G199">
        <v>4.7679999999999998</v>
      </c>
      <c r="H199" s="5">
        <v>100.128</v>
      </c>
      <c r="I199" s="1">
        <v>43520</v>
      </c>
      <c r="J199" s="1">
        <v>0.4236111111111111</v>
      </c>
      <c r="K199" s="8" t="s">
        <v>33</v>
      </c>
      <c r="L199">
        <v>95.36</v>
      </c>
      <c r="M199">
        <v>4.7679999999999998</v>
      </c>
      <c r="N199">
        <v>4.0999999999999996</v>
      </c>
    </row>
    <row r="200" spans="1:14">
      <c r="A200" t="s">
        <v>197</v>
      </c>
      <c r="B200" s="8" t="s">
        <v>27</v>
      </c>
      <c r="C200" s="8" t="s">
        <v>1037</v>
      </c>
      <c r="D200" t="s">
        <v>36</v>
      </c>
      <c r="E200">
        <v>63.69</v>
      </c>
      <c r="F200">
        <v>1</v>
      </c>
      <c r="G200">
        <v>3.1844999999999999</v>
      </c>
      <c r="H200" s="5">
        <v>66.874499999999998</v>
      </c>
      <c r="I200" s="1">
        <v>43521</v>
      </c>
      <c r="J200" s="1">
        <v>0.68125000000000002</v>
      </c>
      <c r="K200" s="8" t="s">
        <v>29</v>
      </c>
      <c r="L200">
        <v>63.69</v>
      </c>
      <c r="M200">
        <v>3.1844999999999999</v>
      </c>
      <c r="N200">
        <v>6</v>
      </c>
    </row>
    <row r="201" spans="1:14">
      <c r="A201" t="s">
        <v>950</v>
      </c>
      <c r="B201" s="8" t="s">
        <v>20</v>
      </c>
      <c r="C201" s="8" t="s">
        <v>1036</v>
      </c>
      <c r="D201" t="s">
        <v>44</v>
      </c>
      <c r="E201">
        <v>99.6</v>
      </c>
      <c r="F201">
        <v>3</v>
      </c>
      <c r="G201">
        <v>14.94</v>
      </c>
      <c r="H201" s="5">
        <v>313.74</v>
      </c>
      <c r="I201" s="1">
        <v>43521</v>
      </c>
      <c r="J201" s="1">
        <v>0.78125</v>
      </c>
      <c r="K201" s="8" t="s">
        <v>29</v>
      </c>
      <c r="L201">
        <v>298.8</v>
      </c>
      <c r="M201">
        <v>14.94</v>
      </c>
      <c r="N201">
        <v>5.8</v>
      </c>
    </row>
    <row r="202" spans="1:14">
      <c r="A202" t="s">
        <v>561</v>
      </c>
      <c r="B202" s="8" t="s">
        <v>20</v>
      </c>
      <c r="C202" s="8" t="s">
        <v>1036</v>
      </c>
      <c r="D202" t="s">
        <v>36</v>
      </c>
      <c r="E202">
        <v>91.41</v>
      </c>
      <c r="F202">
        <v>5</v>
      </c>
      <c r="G202">
        <v>22.852499999999999</v>
      </c>
      <c r="H202" s="5">
        <v>479.90249999999997</v>
      </c>
      <c r="I202" s="1">
        <v>43521</v>
      </c>
      <c r="J202" s="1">
        <v>0.66874999999999996</v>
      </c>
      <c r="K202" s="8" t="s">
        <v>23</v>
      </c>
      <c r="L202">
        <v>457.05</v>
      </c>
      <c r="M202">
        <v>22.852499999999999</v>
      </c>
      <c r="N202">
        <v>7.1</v>
      </c>
    </row>
    <row r="203" spans="1:14">
      <c r="A203" t="s">
        <v>574</v>
      </c>
      <c r="B203" s="8" t="s">
        <v>27</v>
      </c>
      <c r="C203" s="8" t="s">
        <v>1036</v>
      </c>
      <c r="D203" t="s">
        <v>46</v>
      </c>
      <c r="E203">
        <v>73.05</v>
      </c>
      <c r="F203">
        <v>4</v>
      </c>
      <c r="G203">
        <v>14.61</v>
      </c>
      <c r="H203" s="5">
        <v>306.81</v>
      </c>
      <c r="I203" s="1">
        <v>43521</v>
      </c>
      <c r="J203" s="1">
        <v>0.71944444444444444</v>
      </c>
      <c r="K203" s="8" t="s">
        <v>33</v>
      </c>
      <c r="L203">
        <v>292.2</v>
      </c>
      <c r="M203">
        <v>14.61</v>
      </c>
      <c r="N203">
        <v>4.9000000000000004</v>
      </c>
    </row>
    <row r="204" spans="1:14">
      <c r="A204" t="s">
        <v>511</v>
      </c>
      <c r="B204" s="8" t="s">
        <v>27</v>
      </c>
      <c r="C204" s="8" t="s">
        <v>1037</v>
      </c>
      <c r="D204" t="s">
        <v>22</v>
      </c>
      <c r="E204">
        <v>65.180000000000007</v>
      </c>
      <c r="F204">
        <v>3</v>
      </c>
      <c r="G204">
        <v>9.7769999999999992</v>
      </c>
      <c r="H204" s="5">
        <v>205.31700000000001</v>
      </c>
      <c r="I204" s="1">
        <v>43521</v>
      </c>
      <c r="J204" s="1">
        <v>0.85763888888888884</v>
      </c>
      <c r="K204" s="8" t="s">
        <v>33</v>
      </c>
      <c r="L204">
        <v>195.54</v>
      </c>
      <c r="M204">
        <v>9.7769999999999992</v>
      </c>
      <c r="N204">
        <v>6.3</v>
      </c>
    </row>
    <row r="205" spans="1:14">
      <c r="A205" t="s">
        <v>38</v>
      </c>
      <c r="B205" s="8" t="s">
        <v>20</v>
      </c>
      <c r="C205" s="8" t="s">
        <v>1036</v>
      </c>
      <c r="D205" t="s">
        <v>28</v>
      </c>
      <c r="E205">
        <v>68.84</v>
      </c>
      <c r="F205">
        <v>6</v>
      </c>
      <c r="G205">
        <v>20.652000000000001</v>
      </c>
      <c r="H205" s="5">
        <v>433.69200000000001</v>
      </c>
      <c r="I205" s="1">
        <v>43521</v>
      </c>
      <c r="J205" s="1">
        <v>0.60833333333333328</v>
      </c>
      <c r="K205" s="8" t="s">
        <v>23</v>
      </c>
      <c r="L205">
        <v>413.04</v>
      </c>
      <c r="M205">
        <v>20.652000000000001</v>
      </c>
      <c r="N205">
        <v>5.8</v>
      </c>
    </row>
    <row r="206" spans="1:14">
      <c r="A206" t="s">
        <v>830</v>
      </c>
      <c r="B206" s="8" t="s">
        <v>27</v>
      </c>
      <c r="C206" s="8" t="s">
        <v>1036</v>
      </c>
      <c r="D206" t="s">
        <v>28</v>
      </c>
      <c r="E206">
        <v>46.61</v>
      </c>
      <c r="F206">
        <v>2</v>
      </c>
      <c r="G206">
        <v>4.6609999999999996</v>
      </c>
      <c r="H206" s="5">
        <v>97.881</v>
      </c>
      <c r="I206" s="1">
        <v>43522</v>
      </c>
      <c r="J206" s="1">
        <v>0.51944444444444449</v>
      </c>
      <c r="K206" s="8" t="s">
        <v>33</v>
      </c>
      <c r="L206">
        <v>93.22</v>
      </c>
      <c r="M206">
        <v>4.6609999999999996</v>
      </c>
      <c r="N206">
        <v>6.6</v>
      </c>
    </row>
    <row r="207" spans="1:14">
      <c r="A207" t="s">
        <v>695</v>
      </c>
      <c r="B207" s="8" t="s">
        <v>20</v>
      </c>
      <c r="C207" s="8" t="s">
        <v>1037</v>
      </c>
      <c r="D207" t="s">
        <v>46</v>
      </c>
      <c r="E207">
        <v>55.45</v>
      </c>
      <c r="F207">
        <v>1</v>
      </c>
      <c r="G207">
        <v>2.7725</v>
      </c>
      <c r="H207" s="5">
        <v>58.222499999999997</v>
      </c>
      <c r="I207" s="1">
        <v>43522</v>
      </c>
      <c r="J207" s="1">
        <v>0.74027777777777781</v>
      </c>
      <c r="K207" s="8" t="s">
        <v>33</v>
      </c>
      <c r="L207">
        <v>55.45</v>
      </c>
      <c r="M207">
        <v>2.7725</v>
      </c>
      <c r="N207">
        <v>4.9000000000000004</v>
      </c>
    </row>
    <row r="208" spans="1:14">
      <c r="A208" t="s">
        <v>381</v>
      </c>
      <c r="B208" s="8" t="s">
        <v>27</v>
      </c>
      <c r="C208" s="8" t="s">
        <v>1036</v>
      </c>
      <c r="D208" t="s">
        <v>46</v>
      </c>
      <c r="E208">
        <v>77.930000000000007</v>
      </c>
      <c r="F208">
        <v>9</v>
      </c>
      <c r="G208">
        <v>35.0685</v>
      </c>
      <c r="H208" s="5">
        <v>736.43849999999998</v>
      </c>
      <c r="I208" s="1">
        <v>43523</v>
      </c>
      <c r="J208" s="1">
        <v>0.67361111111111116</v>
      </c>
      <c r="K208" s="8" t="s">
        <v>23</v>
      </c>
      <c r="L208">
        <v>701.37</v>
      </c>
      <c r="M208">
        <v>35.0685</v>
      </c>
      <c r="N208">
        <v>7.6</v>
      </c>
    </row>
    <row r="209" spans="1:14">
      <c r="A209" t="s">
        <v>794</v>
      </c>
      <c r="B209" s="8" t="s">
        <v>20</v>
      </c>
      <c r="C209" s="8" t="s">
        <v>1037</v>
      </c>
      <c r="D209" t="s">
        <v>44</v>
      </c>
      <c r="E209">
        <v>18.850000000000001</v>
      </c>
      <c r="F209">
        <v>10</v>
      </c>
      <c r="G209">
        <v>9.4250000000000007</v>
      </c>
      <c r="H209" s="5">
        <v>197.92500000000001</v>
      </c>
      <c r="I209" s="1">
        <v>43523</v>
      </c>
      <c r="J209" s="1">
        <v>0.76666666666666672</v>
      </c>
      <c r="K209" s="8" t="s">
        <v>23</v>
      </c>
      <c r="L209">
        <v>188.5</v>
      </c>
      <c r="M209">
        <v>9.4250000000000007</v>
      </c>
      <c r="N209">
        <v>5.6</v>
      </c>
    </row>
    <row r="210" spans="1:14">
      <c r="A210" t="s">
        <v>719</v>
      </c>
      <c r="B210" s="8" t="s">
        <v>20</v>
      </c>
      <c r="C210" s="8" t="s">
        <v>1037</v>
      </c>
      <c r="D210" t="s">
        <v>46</v>
      </c>
      <c r="E210">
        <v>21.48</v>
      </c>
      <c r="F210">
        <v>2</v>
      </c>
      <c r="G210">
        <v>2.1480000000000001</v>
      </c>
      <c r="H210" s="5">
        <v>45.107999999999997</v>
      </c>
      <c r="I210" s="1">
        <v>43523</v>
      </c>
      <c r="J210" s="1">
        <v>0.51527777777777772</v>
      </c>
      <c r="K210" s="8" t="s">
        <v>23</v>
      </c>
      <c r="L210">
        <v>42.96</v>
      </c>
      <c r="M210">
        <v>2.1480000000000001</v>
      </c>
      <c r="N210">
        <v>6.6</v>
      </c>
    </row>
    <row r="211" spans="1:14">
      <c r="A211" t="s">
        <v>829</v>
      </c>
      <c r="B211" s="8" t="s">
        <v>20</v>
      </c>
      <c r="C211" s="8" t="s">
        <v>1037</v>
      </c>
      <c r="D211" t="s">
        <v>28</v>
      </c>
      <c r="E211">
        <v>92.6</v>
      </c>
      <c r="F211">
        <v>7</v>
      </c>
      <c r="G211">
        <v>32.409999999999997</v>
      </c>
      <c r="H211" s="5">
        <v>680.61</v>
      </c>
      <c r="I211" s="1">
        <v>43523</v>
      </c>
      <c r="J211" s="1">
        <v>0.53611111111111109</v>
      </c>
      <c r="K211" s="8" t="s">
        <v>33</v>
      </c>
      <c r="L211">
        <v>648.20000000000005</v>
      </c>
      <c r="M211">
        <v>32.409999999999997</v>
      </c>
      <c r="N211">
        <v>9.3000000000000007</v>
      </c>
    </row>
    <row r="212" spans="1:14">
      <c r="A212" t="s">
        <v>968</v>
      </c>
      <c r="B212" s="8" t="s">
        <v>27</v>
      </c>
      <c r="C212" s="8" t="s">
        <v>1036</v>
      </c>
      <c r="D212" t="s">
        <v>44</v>
      </c>
      <c r="E212">
        <v>74.44</v>
      </c>
      <c r="F212">
        <v>10</v>
      </c>
      <c r="G212">
        <v>37.22</v>
      </c>
      <c r="H212" s="5">
        <v>781.62</v>
      </c>
      <c r="I212" s="1">
        <v>43523</v>
      </c>
      <c r="J212" s="1">
        <v>0.4861111111111111</v>
      </c>
      <c r="K212" s="8" t="s">
        <v>23</v>
      </c>
      <c r="L212">
        <v>744.4</v>
      </c>
      <c r="M212">
        <v>37.22</v>
      </c>
      <c r="N212">
        <v>5.0999999999999996</v>
      </c>
    </row>
    <row r="213" spans="1:14">
      <c r="A213" t="s">
        <v>767</v>
      </c>
      <c r="B213" s="8" t="s">
        <v>27</v>
      </c>
      <c r="C213" s="8" t="s">
        <v>1037</v>
      </c>
      <c r="D213" t="s">
        <v>22</v>
      </c>
      <c r="E213">
        <v>56</v>
      </c>
      <c r="F213">
        <v>3</v>
      </c>
      <c r="G213">
        <v>8.4</v>
      </c>
      <c r="H213" s="5">
        <v>176.4</v>
      </c>
      <c r="I213" s="1">
        <v>43524</v>
      </c>
      <c r="J213" s="1">
        <v>0.81458333333333333</v>
      </c>
      <c r="K213" s="8" t="s">
        <v>23</v>
      </c>
      <c r="L213">
        <v>168</v>
      </c>
      <c r="M213">
        <v>8.4</v>
      </c>
      <c r="N213">
        <v>4.8</v>
      </c>
    </row>
    <row r="214" spans="1:14">
      <c r="A214" t="s">
        <v>746</v>
      </c>
      <c r="B214" s="8" t="s">
        <v>20</v>
      </c>
      <c r="C214" s="8" t="s">
        <v>1037</v>
      </c>
      <c r="D214" t="s">
        <v>44</v>
      </c>
      <c r="E214">
        <v>80.62</v>
      </c>
      <c r="F214">
        <v>6</v>
      </c>
      <c r="G214">
        <v>24.186</v>
      </c>
      <c r="H214" s="5">
        <v>507.90600000000001</v>
      </c>
      <c r="I214" s="1">
        <v>43524</v>
      </c>
      <c r="J214" s="1">
        <v>0.84583333333333333</v>
      </c>
      <c r="K214" s="8" t="s">
        <v>29</v>
      </c>
      <c r="L214">
        <v>483.72</v>
      </c>
      <c r="M214">
        <v>24.186</v>
      </c>
      <c r="N214">
        <v>9.1</v>
      </c>
    </row>
    <row r="215" spans="1:14">
      <c r="A215" t="s">
        <v>710</v>
      </c>
      <c r="B215" s="8" t="s">
        <v>27</v>
      </c>
      <c r="C215" s="8" t="s">
        <v>1036</v>
      </c>
      <c r="D215" t="s">
        <v>28</v>
      </c>
      <c r="E215">
        <v>45.48</v>
      </c>
      <c r="F215">
        <v>10</v>
      </c>
      <c r="G215">
        <v>22.74</v>
      </c>
      <c r="H215" s="5">
        <v>477.54</v>
      </c>
      <c r="I215" s="1">
        <v>43525</v>
      </c>
      <c r="J215" s="1">
        <v>0.43194444444444446</v>
      </c>
      <c r="K215" s="8" t="s">
        <v>33</v>
      </c>
      <c r="L215">
        <v>454.8</v>
      </c>
      <c r="M215">
        <v>22.74</v>
      </c>
      <c r="N215">
        <v>4.8</v>
      </c>
    </row>
    <row r="216" spans="1:14">
      <c r="A216" t="s">
        <v>554</v>
      </c>
      <c r="B216" s="8" t="s">
        <v>27</v>
      </c>
      <c r="C216" s="8" t="s">
        <v>1037</v>
      </c>
      <c r="D216" t="s">
        <v>32</v>
      </c>
      <c r="E216">
        <v>34.729999999999997</v>
      </c>
      <c r="F216">
        <v>2</v>
      </c>
      <c r="G216">
        <v>3.4729999999999999</v>
      </c>
      <c r="H216" s="5">
        <v>72.933000000000007</v>
      </c>
      <c r="I216" s="1">
        <v>43525</v>
      </c>
      <c r="J216" s="1">
        <v>0.75972222222222219</v>
      </c>
      <c r="K216" s="8" t="s">
        <v>23</v>
      </c>
      <c r="L216">
        <v>69.459999999999994</v>
      </c>
      <c r="M216">
        <v>3.4729999999999999</v>
      </c>
      <c r="N216">
        <v>9.6999999999999993</v>
      </c>
    </row>
    <row r="217" spans="1:14">
      <c r="A217" t="s">
        <v>766</v>
      </c>
      <c r="B217" s="8" t="s">
        <v>20</v>
      </c>
      <c r="C217" s="8" t="s">
        <v>1036</v>
      </c>
      <c r="D217" t="s">
        <v>46</v>
      </c>
      <c r="E217">
        <v>22.32</v>
      </c>
      <c r="F217">
        <v>4</v>
      </c>
      <c r="G217">
        <v>4.4640000000000004</v>
      </c>
      <c r="H217" s="5">
        <v>93.744</v>
      </c>
      <c r="I217" s="1">
        <v>43525</v>
      </c>
      <c r="J217" s="1">
        <v>0.68263888888888891</v>
      </c>
      <c r="K217" s="8" t="s">
        <v>33</v>
      </c>
      <c r="L217">
        <v>89.28</v>
      </c>
      <c r="M217">
        <v>4.4640000000000004</v>
      </c>
      <c r="N217">
        <v>4.4000000000000004</v>
      </c>
    </row>
    <row r="218" spans="1:14">
      <c r="A218" t="s">
        <v>878</v>
      </c>
      <c r="B218" s="8" t="s">
        <v>20</v>
      </c>
      <c r="C218" s="8" t="s">
        <v>1036</v>
      </c>
      <c r="D218" t="s">
        <v>36</v>
      </c>
      <c r="E218">
        <v>39.47</v>
      </c>
      <c r="F218">
        <v>2</v>
      </c>
      <c r="G218">
        <v>3.9470000000000001</v>
      </c>
      <c r="H218" s="5">
        <v>82.887</v>
      </c>
      <c r="I218" s="1">
        <v>43526</v>
      </c>
      <c r="J218" s="1">
        <v>0.67777777777777781</v>
      </c>
      <c r="K218" s="8" t="s">
        <v>33</v>
      </c>
      <c r="L218">
        <v>78.94</v>
      </c>
      <c r="M218">
        <v>3.9470000000000001</v>
      </c>
      <c r="N218">
        <v>5</v>
      </c>
    </row>
    <row r="219" spans="1:14">
      <c r="A219" t="s">
        <v>976</v>
      </c>
      <c r="B219" s="8" t="s">
        <v>27</v>
      </c>
      <c r="C219" s="8" t="s">
        <v>1037</v>
      </c>
      <c r="D219" t="s">
        <v>44</v>
      </c>
      <c r="E219">
        <v>66.52</v>
      </c>
      <c r="F219">
        <v>4</v>
      </c>
      <c r="G219">
        <v>13.304</v>
      </c>
      <c r="H219" s="5">
        <v>279.38400000000001</v>
      </c>
      <c r="I219" s="1">
        <v>43526</v>
      </c>
      <c r="J219" s="1">
        <v>0.75972222222222219</v>
      </c>
      <c r="K219" s="8" t="s">
        <v>23</v>
      </c>
      <c r="L219">
        <v>266.08</v>
      </c>
      <c r="M219">
        <v>13.304</v>
      </c>
      <c r="N219">
        <v>6.9</v>
      </c>
    </row>
    <row r="220" spans="1:14">
      <c r="A220" t="s">
        <v>60</v>
      </c>
      <c r="B220" s="8" t="s">
        <v>20</v>
      </c>
      <c r="C220" s="8" t="s">
        <v>1037</v>
      </c>
      <c r="D220" t="s">
        <v>36</v>
      </c>
      <c r="E220">
        <v>88.63</v>
      </c>
      <c r="F220">
        <v>3</v>
      </c>
      <c r="G220">
        <v>13.294499999999999</v>
      </c>
      <c r="H220" s="5">
        <v>279.18450000000001</v>
      </c>
      <c r="I220" s="1">
        <v>43526</v>
      </c>
      <c r="J220" s="1">
        <v>0.73333333333333328</v>
      </c>
      <c r="K220" s="8" t="s">
        <v>23</v>
      </c>
      <c r="L220">
        <v>265.89</v>
      </c>
      <c r="M220">
        <v>13.294499999999999</v>
      </c>
      <c r="N220">
        <v>6</v>
      </c>
    </row>
    <row r="221" spans="1:14">
      <c r="A221" t="s">
        <v>489</v>
      </c>
      <c r="B221" s="8" t="s">
        <v>27</v>
      </c>
      <c r="C221" s="8" t="s">
        <v>1037</v>
      </c>
      <c r="D221" t="s">
        <v>22</v>
      </c>
      <c r="E221">
        <v>25</v>
      </c>
      <c r="F221">
        <v>1</v>
      </c>
      <c r="G221">
        <v>1.25</v>
      </c>
      <c r="H221" s="5">
        <v>26.25</v>
      </c>
      <c r="I221" s="1">
        <v>43527</v>
      </c>
      <c r="J221" s="1">
        <v>0.63124999999999998</v>
      </c>
      <c r="K221" s="8" t="s">
        <v>23</v>
      </c>
      <c r="L221">
        <v>25</v>
      </c>
      <c r="M221">
        <v>1.25</v>
      </c>
      <c r="N221">
        <v>5.5</v>
      </c>
    </row>
    <row r="222" spans="1:14">
      <c r="A222" t="s">
        <v>672</v>
      </c>
      <c r="B222" s="8" t="s">
        <v>27</v>
      </c>
      <c r="C222" s="8" t="s">
        <v>1037</v>
      </c>
      <c r="D222" t="s">
        <v>22</v>
      </c>
      <c r="E222">
        <v>28.95</v>
      </c>
      <c r="F222">
        <v>7</v>
      </c>
      <c r="G222">
        <v>10.1325</v>
      </c>
      <c r="H222" s="5">
        <v>212.7825</v>
      </c>
      <c r="I222" s="1">
        <v>43527</v>
      </c>
      <c r="J222" s="1">
        <v>0.85486111111111107</v>
      </c>
      <c r="K222" s="8" t="s">
        <v>33</v>
      </c>
      <c r="L222">
        <v>202.65</v>
      </c>
      <c r="M222">
        <v>10.1325</v>
      </c>
      <c r="N222">
        <v>6</v>
      </c>
    </row>
    <row r="223" spans="1:14">
      <c r="A223" t="s">
        <v>30</v>
      </c>
      <c r="B223" s="8" t="s">
        <v>27</v>
      </c>
      <c r="C223" s="8" t="s">
        <v>1037</v>
      </c>
      <c r="D223" t="s">
        <v>32</v>
      </c>
      <c r="E223">
        <v>46.33</v>
      </c>
      <c r="F223">
        <v>7</v>
      </c>
      <c r="G223">
        <v>16.215499999999999</v>
      </c>
      <c r="H223" s="5">
        <v>340.52550000000002</v>
      </c>
      <c r="I223" s="1">
        <v>43527</v>
      </c>
      <c r="J223" s="1">
        <v>0.55763888888888891</v>
      </c>
      <c r="K223" s="8" t="s">
        <v>33</v>
      </c>
      <c r="L223">
        <v>324.31</v>
      </c>
      <c r="M223">
        <v>16.215499999999999</v>
      </c>
      <c r="N223">
        <v>7.4</v>
      </c>
    </row>
    <row r="224" spans="1:14">
      <c r="A224" t="s">
        <v>212</v>
      </c>
      <c r="B224" s="8" t="s">
        <v>20</v>
      </c>
      <c r="C224" s="8" t="s">
        <v>1037</v>
      </c>
      <c r="D224" t="s">
        <v>44</v>
      </c>
      <c r="E224">
        <v>22.17</v>
      </c>
      <c r="F224">
        <v>8</v>
      </c>
      <c r="G224">
        <v>8.8680000000000003</v>
      </c>
      <c r="H224" s="5">
        <v>186.22800000000001</v>
      </c>
      <c r="I224" s="1">
        <v>43527</v>
      </c>
      <c r="J224" s="1">
        <v>0.70902777777777781</v>
      </c>
      <c r="K224" s="8" t="s">
        <v>33</v>
      </c>
      <c r="L224">
        <v>177.36</v>
      </c>
      <c r="M224">
        <v>8.8680000000000003</v>
      </c>
      <c r="N224">
        <v>9.6</v>
      </c>
    </row>
    <row r="225" spans="1:14">
      <c r="A225" t="s">
        <v>826</v>
      </c>
      <c r="B225" s="8" t="s">
        <v>27</v>
      </c>
      <c r="C225" s="8" t="s">
        <v>1037</v>
      </c>
      <c r="D225" t="s">
        <v>46</v>
      </c>
      <c r="E225">
        <v>46.41</v>
      </c>
      <c r="F225">
        <v>1</v>
      </c>
      <c r="G225">
        <v>2.3205</v>
      </c>
      <c r="H225" s="5">
        <v>48.730499999999999</v>
      </c>
      <c r="I225" s="1">
        <v>43527</v>
      </c>
      <c r="J225" s="1">
        <v>0.83750000000000002</v>
      </c>
      <c r="K225" s="8" t="s">
        <v>33</v>
      </c>
      <c r="L225">
        <v>46.41</v>
      </c>
      <c r="M225">
        <v>2.3205</v>
      </c>
      <c r="N225">
        <v>4</v>
      </c>
    </row>
    <row r="226" spans="1:14">
      <c r="A226" t="s">
        <v>728</v>
      </c>
      <c r="B226" s="8" t="s">
        <v>20</v>
      </c>
      <c r="C226" s="8" t="s">
        <v>1037</v>
      </c>
      <c r="D226" t="s">
        <v>22</v>
      </c>
      <c r="E226">
        <v>48.63</v>
      </c>
      <c r="F226">
        <v>10</v>
      </c>
      <c r="G226">
        <v>24.315000000000001</v>
      </c>
      <c r="H226" s="5">
        <v>510.61500000000001</v>
      </c>
      <c r="I226" s="1">
        <v>43528</v>
      </c>
      <c r="J226" s="1">
        <v>0.53055555555555556</v>
      </c>
      <c r="K226" s="8" t="s">
        <v>29</v>
      </c>
      <c r="L226">
        <v>486.3</v>
      </c>
      <c r="M226">
        <v>24.315000000000001</v>
      </c>
      <c r="N226">
        <v>8.8000000000000007</v>
      </c>
    </row>
    <row r="227" spans="1:14">
      <c r="A227" t="s">
        <v>319</v>
      </c>
      <c r="B227" s="8" t="s">
        <v>20</v>
      </c>
      <c r="C227" s="8" t="s">
        <v>1037</v>
      </c>
      <c r="D227" t="s">
        <v>22</v>
      </c>
      <c r="E227">
        <v>99.83</v>
      </c>
      <c r="F227">
        <v>6</v>
      </c>
      <c r="G227">
        <v>29.949000000000002</v>
      </c>
      <c r="H227" s="5">
        <v>628.92899999999997</v>
      </c>
      <c r="I227" s="1">
        <v>43528</v>
      </c>
      <c r="J227" s="1">
        <v>0.62638888888888888</v>
      </c>
      <c r="K227" s="8" t="s">
        <v>23</v>
      </c>
      <c r="L227">
        <v>598.98</v>
      </c>
      <c r="M227">
        <v>29.949000000000002</v>
      </c>
      <c r="N227">
        <v>8.5</v>
      </c>
    </row>
    <row r="228" spans="1:14">
      <c r="A228" t="s">
        <v>839</v>
      </c>
      <c r="B228" s="8" t="s">
        <v>20</v>
      </c>
      <c r="C228" s="8" t="s">
        <v>1036</v>
      </c>
      <c r="D228" t="s">
        <v>46</v>
      </c>
      <c r="E228">
        <v>48.96</v>
      </c>
      <c r="F228">
        <v>9</v>
      </c>
      <c r="G228">
        <v>22.032</v>
      </c>
      <c r="H228" s="5">
        <v>462.67200000000003</v>
      </c>
      <c r="I228" s="1">
        <v>43528</v>
      </c>
      <c r="J228" s="1">
        <v>0.47708333333333336</v>
      </c>
      <c r="K228" s="8" t="s">
        <v>29</v>
      </c>
      <c r="L228">
        <v>440.64</v>
      </c>
      <c r="M228">
        <v>22.032</v>
      </c>
      <c r="N228">
        <v>8</v>
      </c>
    </row>
    <row r="229" spans="1:14">
      <c r="A229" t="s">
        <v>220</v>
      </c>
      <c r="B229" s="8" t="s">
        <v>27</v>
      </c>
      <c r="C229" s="8" t="s">
        <v>1036</v>
      </c>
      <c r="D229" t="s">
        <v>36</v>
      </c>
      <c r="E229">
        <v>12.34</v>
      </c>
      <c r="F229">
        <v>7</v>
      </c>
      <c r="G229">
        <v>4.319</v>
      </c>
      <c r="H229" s="5">
        <v>90.698999999999998</v>
      </c>
      <c r="I229" s="1">
        <v>43528</v>
      </c>
      <c r="J229" s="1">
        <v>0.47152777777777777</v>
      </c>
      <c r="K229" s="8" t="s">
        <v>33</v>
      </c>
      <c r="L229">
        <v>86.38</v>
      </c>
      <c r="M229">
        <v>4.319</v>
      </c>
      <c r="N229">
        <v>6.7</v>
      </c>
    </row>
    <row r="230" spans="1:14">
      <c r="A230" t="s">
        <v>1012</v>
      </c>
      <c r="B230" s="8" t="s">
        <v>27</v>
      </c>
      <c r="C230" s="8" t="s">
        <v>1036</v>
      </c>
      <c r="D230" t="s">
        <v>44</v>
      </c>
      <c r="E230">
        <v>74.66</v>
      </c>
      <c r="F230">
        <v>4</v>
      </c>
      <c r="G230">
        <v>14.932</v>
      </c>
      <c r="H230" s="5">
        <v>313.572</v>
      </c>
      <c r="I230" s="1">
        <v>43528</v>
      </c>
      <c r="J230" s="1">
        <v>0.44374999999999998</v>
      </c>
      <c r="K230" s="8" t="s">
        <v>29</v>
      </c>
      <c r="L230">
        <v>298.64</v>
      </c>
      <c r="M230">
        <v>14.932</v>
      </c>
      <c r="N230">
        <v>8.5</v>
      </c>
    </row>
    <row r="231" spans="1:14">
      <c r="A231" t="s">
        <v>1002</v>
      </c>
      <c r="B231" s="8" t="s">
        <v>27</v>
      </c>
      <c r="C231" s="8" t="s">
        <v>1036</v>
      </c>
      <c r="D231" t="s">
        <v>32</v>
      </c>
      <c r="E231">
        <v>33.299999999999997</v>
      </c>
      <c r="F231">
        <v>9</v>
      </c>
      <c r="G231">
        <v>14.984999999999999</v>
      </c>
      <c r="H231" s="5">
        <v>314.685</v>
      </c>
      <c r="I231" s="1">
        <v>43528</v>
      </c>
      <c r="J231" s="1">
        <v>0.64375000000000004</v>
      </c>
      <c r="K231" s="8" t="s">
        <v>23</v>
      </c>
      <c r="L231">
        <v>299.7</v>
      </c>
      <c r="M231">
        <v>14.984999999999999</v>
      </c>
      <c r="N231">
        <v>7.2</v>
      </c>
    </row>
    <row r="232" spans="1:14">
      <c r="A232" t="s">
        <v>859</v>
      </c>
      <c r="B232" s="8" t="s">
        <v>27</v>
      </c>
      <c r="C232" s="8" t="s">
        <v>1036</v>
      </c>
      <c r="D232" t="s">
        <v>22</v>
      </c>
      <c r="E232">
        <v>68.709999999999994</v>
      </c>
      <c r="F232">
        <v>3</v>
      </c>
      <c r="G232">
        <v>10.3065</v>
      </c>
      <c r="H232" s="5">
        <v>216.4365</v>
      </c>
      <c r="I232" s="1">
        <v>43528</v>
      </c>
      <c r="J232" s="1">
        <v>0.4201388888888889</v>
      </c>
      <c r="K232" s="8" t="s">
        <v>29</v>
      </c>
      <c r="L232">
        <v>206.13</v>
      </c>
      <c r="M232">
        <v>10.3065</v>
      </c>
      <c r="N232">
        <v>8.6999999999999993</v>
      </c>
    </row>
    <row r="233" spans="1:14">
      <c r="A233" t="s">
        <v>444</v>
      </c>
      <c r="B233" s="8" t="s">
        <v>27</v>
      </c>
      <c r="C233" s="8" t="s">
        <v>1036</v>
      </c>
      <c r="D233" t="s">
        <v>32</v>
      </c>
      <c r="E233">
        <v>56.53</v>
      </c>
      <c r="F233">
        <v>4</v>
      </c>
      <c r="G233">
        <v>11.305999999999999</v>
      </c>
      <c r="H233" s="5">
        <v>237.42599999999999</v>
      </c>
      <c r="I233" s="1">
        <v>43528</v>
      </c>
      <c r="J233" s="1">
        <v>0.82499999999999996</v>
      </c>
      <c r="K233" s="8" t="s">
        <v>23</v>
      </c>
      <c r="L233">
        <v>226.12</v>
      </c>
      <c r="M233">
        <v>11.305999999999999</v>
      </c>
      <c r="N233">
        <v>5.5</v>
      </c>
    </row>
    <row r="234" spans="1:14">
      <c r="A234" t="s">
        <v>625</v>
      </c>
      <c r="B234" s="8" t="s">
        <v>27</v>
      </c>
      <c r="C234" s="8" t="s">
        <v>1037</v>
      </c>
      <c r="D234" t="s">
        <v>22</v>
      </c>
      <c r="E234">
        <v>14.62</v>
      </c>
      <c r="F234">
        <v>5</v>
      </c>
      <c r="G234">
        <v>3.6549999999999998</v>
      </c>
      <c r="H234" s="5">
        <v>76.754999999999995</v>
      </c>
      <c r="I234" s="1">
        <v>43528</v>
      </c>
      <c r="J234" s="1">
        <v>0.51597222222222228</v>
      </c>
      <c r="K234" s="8" t="s">
        <v>29</v>
      </c>
      <c r="L234">
        <v>73.099999999999994</v>
      </c>
      <c r="M234">
        <v>3.6549999999999998</v>
      </c>
      <c r="N234">
        <v>4.4000000000000004</v>
      </c>
    </row>
    <row r="235" spans="1:14">
      <c r="A235" t="s">
        <v>667</v>
      </c>
      <c r="B235" s="8" t="s">
        <v>27</v>
      </c>
      <c r="C235" s="8" t="s">
        <v>1037</v>
      </c>
      <c r="D235" t="s">
        <v>28</v>
      </c>
      <c r="E235">
        <v>78.31</v>
      </c>
      <c r="F235">
        <v>3</v>
      </c>
      <c r="G235">
        <v>11.746499999999999</v>
      </c>
      <c r="H235" s="5">
        <v>246.6765</v>
      </c>
      <c r="I235" s="1">
        <v>43529</v>
      </c>
      <c r="J235" s="1">
        <v>0.69305555555555554</v>
      </c>
      <c r="K235" s="8" t="s">
        <v>23</v>
      </c>
      <c r="L235">
        <v>234.93</v>
      </c>
      <c r="M235">
        <v>11.746499999999999</v>
      </c>
      <c r="N235">
        <v>5.4</v>
      </c>
    </row>
    <row r="236" spans="1:14">
      <c r="A236" t="s">
        <v>345</v>
      </c>
      <c r="B236" s="8" t="s">
        <v>27</v>
      </c>
      <c r="C236" s="8" t="s">
        <v>1036</v>
      </c>
      <c r="D236" t="s">
        <v>46</v>
      </c>
      <c r="E236">
        <v>81.91</v>
      </c>
      <c r="F236">
        <v>2</v>
      </c>
      <c r="G236">
        <v>8.1910000000000007</v>
      </c>
      <c r="H236" s="5">
        <v>172.011</v>
      </c>
      <c r="I236" s="1">
        <v>43529</v>
      </c>
      <c r="J236" s="1">
        <v>0.73819444444444449</v>
      </c>
      <c r="K236" s="8" t="s">
        <v>29</v>
      </c>
      <c r="L236">
        <v>163.82</v>
      </c>
      <c r="M236">
        <v>8.1910000000000007</v>
      </c>
      <c r="N236">
        <v>7.8</v>
      </c>
    </row>
    <row r="237" spans="1:14">
      <c r="A237" t="s">
        <v>405</v>
      </c>
      <c r="B237" s="8" t="s">
        <v>20</v>
      </c>
      <c r="C237" s="8" t="s">
        <v>1037</v>
      </c>
      <c r="D237" t="s">
        <v>28</v>
      </c>
      <c r="E237">
        <v>21.5</v>
      </c>
      <c r="F237">
        <v>9</v>
      </c>
      <c r="G237">
        <v>9.6750000000000007</v>
      </c>
      <c r="H237" s="5">
        <v>203.17500000000001</v>
      </c>
      <c r="I237" s="1">
        <v>43530</v>
      </c>
      <c r="J237" s="1">
        <v>0.53194444444444444</v>
      </c>
      <c r="K237" s="8" t="s">
        <v>33</v>
      </c>
      <c r="L237">
        <v>193.5</v>
      </c>
      <c r="M237">
        <v>9.6750000000000007</v>
      </c>
      <c r="N237">
        <v>7.8</v>
      </c>
    </row>
    <row r="238" spans="1:14">
      <c r="A238" t="s">
        <v>430</v>
      </c>
      <c r="B238" s="8" t="s">
        <v>27</v>
      </c>
      <c r="C238" s="8" t="s">
        <v>1036</v>
      </c>
      <c r="D238" t="s">
        <v>22</v>
      </c>
      <c r="E238">
        <v>79.739999999999995</v>
      </c>
      <c r="F238">
        <v>1</v>
      </c>
      <c r="G238">
        <v>3.9870000000000001</v>
      </c>
      <c r="H238" s="5">
        <v>83.727000000000004</v>
      </c>
      <c r="I238" s="1">
        <v>43530</v>
      </c>
      <c r="J238" s="1">
        <v>0.44166666666666665</v>
      </c>
      <c r="K238" s="8" t="s">
        <v>23</v>
      </c>
      <c r="L238">
        <v>79.739999999999995</v>
      </c>
      <c r="M238">
        <v>3.9870000000000001</v>
      </c>
      <c r="N238">
        <v>7.3</v>
      </c>
    </row>
    <row r="239" spans="1:14">
      <c r="A239" t="s">
        <v>167</v>
      </c>
      <c r="B239" s="8" t="s">
        <v>20</v>
      </c>
      <c r="C239" s="8" t="s">
        <v>1036</v>
      </c>
      <c r="D239" t="s">
        <v>36</v>
      </c>
      <c r="E239">
        <v>92.13</v>
      </c>
      <c r="F239">
        <v>6</v>
      </c>
      <c r="G239">
        <v>27.638999999999999</v>
      </c>
      <c r="H239" s="5">
        <v>580.41899999999998</v>
      </c>
      <c r="I239" s="1">
        <v>43530</v>
      </c>
      <c r="J239" s="1">
        <v>0.8569444444444444</v>
      </c>
      <c r="K239" s="8" t="s">
        <v>29</v>
      </c>
      <c r="L239">
        <v>552.78</v>
      </c>
      <c r="M239">
        <v>27.638999999999999</v>
      </c>
      <c r="N239">
        <v>8.3000000000000007</v>
      </c>
    </row>
    <row r="240" spans="1:14">
      <c r="A240" t="s">
        <v>99</v>
      </c>
      <c r="B240" s="8" t="s">
        <v>20</v>
      </c>
      <c r="C240" s="8" t="s">
        <v>1037</v>
      </c>
      <c r="D240" t="s">
        <v>36</v>
      </c>
      <c r="E240">
        <v>15.81</v>
      </c>
      <c r="F240">
        <v>10</v>
      </c>
      <c r="G240">
        <v>7.9050000000000002</v>
      </c>
      <c r="H240" s="5">
        <v>166.005</v>
      </c>
      <c r="I240" s="1">
        <v>43530</v>
      </c>
      <c r="J240" s="1">
        <v>0.51875000000000004</v>
      </c>
      <c r="K240" s="8" t="s">
        <v>33</v>
      </c>
      <c r="L240">
        <v>158.1</v>
      </c>
      <c r="M240">
        <v>7.9050000000000002</v>
      </c>
      <c r="N240">
        <v>8.6</v>
      </c>
    </row>
    <row r="241" spans="1:14">
      <c r="A241" t="s">
        <v>349</v>
      </c>
      <c r="B241" s="8" t="s">
        <v>20</v>
      </c>
      <c r="C241" s="8" t="s">
        <v>1036</v>
      </c>
      <c r="D241" t="s">
        <v>22</v>
      </c>
      <c r="E241">
        <v>15.55</v>
      </c>
      <c r="F241">
        <v>9</v>
      </c>
      <c r="G241">
        <v>6.9974999999999996</v>
      </c>
      <c r="H241" s="5">
        <v>146.94749999999999</v>
      </c>
      <c r="I241" s="1">
        <v>43531</v>
      </c>
      <c r="J241" s="1">
        <v>0.55000000000000004</v>
      </c>
      <c r="K241" s="8" t="s">
        <v>29</v>
      </c>
      <c r="L241">
        <v>139.94999999999999</v>
      </c>
      <c r="M241">
        <v>6.9974999999999996</v>
      </c>
      <c r="N241">
        <v>5</v>
      </c>
    </row>
    <row r="242" spans="1:14">
      <c r="A242" t="s">
        <v>893</v>
      </c>
      <c r="B242" s="8" t="s">
        <v>20</v>
      </c>
      <c r="C242" s="8" t="s">
        <v>1036</v>
      </c>
      <c r="D242" t="s">
        <v>32</v>
      </c>
      <c r="E242">
        <v>28.31</v>
      </c>
      <c r="F242">
        <v>4</v>
      </c>
      <c r="G242">
        <v>5.6619999999999999</v>
      </c>
      <c r="H242" s="5">
        <v>118.902</v>
      </c>
      <c r="I242" s="1">
        <v>43531</v>
      </c>
      <c r="J242" s="1">
        <v>0.77430555555555558</v>
      </c>
      <c r="K242" s="8" t="s">
        <v>29</v>
      </c>
      <c r="L242">
        <v>113.24</v>
      </c>
      <c r="M242">
        <v>5.6619999999999999</v>
      </c>
      <c r="N242">
        <v>8.1999999999999993</v>
      </c>
    </row>
    <row r="243" spans="1:14">
      <c r="A243" t="s">
        <v>573</v>
      </c>
      <c r="B243" s="8" t="s">
        <v>27</v>
      </c>
      <c r="C243" s="8" t="s">
        <v>1037</v>
      </c>
      <c r="D243" t="s">
        <v>32</v>
      </c>
      <c r="E243">
        <v>97.94</v>
      </c>
      <c r="F243">
        <v>1</v>
      </c>
      <c r="G243">
        <v>4.8970000000000002</v>
      </c>
      <c r="H243" s="5">
        <v>102.837</v>
      </c>
      <c r="I243" s="1">
        <v>43531</v>
      </c>
      <c r="J243" s="1">
        <v>0.48888888888888887</v>
      </c>
      <c r="K243" s="8" t="s">
        <v>23</v>
      </c>
      <c r="L243">
        <v>97.94</v>
      </c>
      <c r="M243">
        <v>4.8970000000000002</v>
      </c>
      <c r="N243">
        <v>6.9</v>
      </c>
    </row>
    <row r="244" spans="1:14">
      <c r="A244" t="s">
        <v>131</v>
      </c>
      <c r="B244" s="8" t="s">
        <v>27</v>
      </c>
      <c r="C244" s="8" t="s">
        <v>1037</v>
      </c>
      <c r="D244" t="s">
        <v>28</v>
      </c>
      <c r="E244">
        <v>97.16</v>
      </c>
      <c r="F244">
        <v>1</v>
      </c>
      <c r="G244">
        <v>4.8579999999999997</v>
      </c>
      <c r="H244" s="5">
        <v>102.018</v>
      </c>
      <c r="I244" s="1">
        <v>43532</v>
      </c>
      <c r="J244" s="1">
        <v>0.85972222222222228</v>
      </c>
      <c r="K244" s="8" t="s">
        <v>23</v>
      </c>
      <c r="L244">
        <v>97.16</v>
      </c>
      <c r="M244">
        <v>4.8579999999999997</v>
      </c>
      <c r="N244">
        <v>7.2</v>
      </c>
    </row>
    <row r="245" spans="1:14">
      <c r="A245" t="s">
        <v>465</v>
      </c>
      <c r="B245" s="8" t="s">
        <v>20</v>
      </c>
      <c r="C245" s="8" t="s">
        <v>1036</v>
      </c>
      <c r="D245" t="s">
        <v>32</v>
      </c>
      <c r="E245">
        <v>90.65</v>
      </c>
      <c r="F245">
        <v>10</v>
      </c>
      <c r="G245">
        <v>45.325000000000003</v>
      </c>
      <c r="H245" s="5">
        <v>951.82500000000005</v>
      </c>
      <c r="I245" s="1">
        <v>43532</v>
      </c>
      <c r="J245" s="1">
        <v>0.45347222222222222</v>
      </c>
      <c r="K245" s="8" t="s">
        <v>23</v>
      </c>
      <c r="L245">
        <v>906.5</v>
      </c>
      <c r="M245">
        <v>45.325000000000003</v>
      </c>
      <c r="N245">
        <v>7.3</v>
      </c>
    </row>
    <row r="246" spans="1:14">
      <c r="A246" t="s">
        <v>473</v>
      </c>
      <c r="B246" s="8" t="s">
        <v>27</v>
      </c>
      <c r="C246" s="8" t="s">
        <v>1037</v>
      </c>
      <c r="D246" t="s">
        <v>32</v>
      </c>
      <c r="E246">
        <v>33.99</v>
      </c>
      <c r="F246">
        <v>6</v>
      </c>
      <c r="G246">
        <v>10.196999999999999</v>
      </c>
      <c r="H246" s="5">
        <v>214.137</v>
      </c>
      <c r="I246" s="1">
        <v>43532</v>
      </c>
      <c r="J246" s="1">
        <v>0.65069444444444446</v>
      </c>
      <c r="K246" s="8" t="s">
        <v>33</v>
      </c>
      <c r="L246">
        <v>203.94</v>
      </c>
      <c r="M246">
        <v>10.196999999999999</v>
      </c>
      <c r="N246">
        <v>7.7</v>
      </c>
    </row>
    <row r="247" spans="1:14">
      <c r="A247" t="s">
        <v>359</v>
      </c>
      <c r="B247" s="8" t="s">
        <v>27</v>
      </c>
      <c r="C247" s="8" t="s">
        <v>1036</v>
      </c>
      <c r="D247" t="s">
        <v>46</v>
      </c>
      <c r="E247">
        <v>61.77</v>
      </c>
      <c r="F247">
        <v>5</v>
      </c>
      <c r="G247">
        <v>15.442500000000001</v>
      </c>
      <c r="H247" s="5">
        <v>324.29250000000002</v>
      </c>
      <c r="I247" s="1">
        <v>43532</v>
      </c>
      <c r="J247" s="1">
        <v>0.55625000000000002</v>
      </c>
      <c r="K247" s="8" t="s">
        <v>29</v>
      </c>
      <c r="L247">
        <v>308.85000000000002</v>
      </c>
      <c r="M247">
        <v>15.442500000000001</v>
      </c>
      <c r="N247">
        <v>6.7</v>
      </c>
    </row>
    <row r="248" spans="1:14">
      <c r="A248" t="s">
        <v>621</v>
      </c>
      <c r="B248" s="8" t="s">
        <v>27</v>
      </c>
      <c r="C248" s="8" t="s">
        <v>1037</v>
      </c>
      <c r="D248" t="s">
        <v>22</v>
      </c>
      <c r="E248">
        <v>51.71</v>
      </c>
      <c r="F248">
        <v>4</v>
      </c>
      <c r="G248">
        <v>10.342000000000001</v>
      </c>
      <c r="H248" s="5">
        <v>217.18199999999999</v>
      </c>
      <c r="I248" s="1">
        <v>43533</v>
      </c>
      <c r="J248" s="1">
        <v>0.57847222222222228</v>
      </c>
      <c r="K248" s="8" t="s">
        <v>33</v>
      </c>
      <c r="L248">
        <v>206.84</v>
      </c>
      <c r="M248">
        <v>10.342000000000001</v>
      </c>
      <c r="N248">
        <v>9.8000000000000007</v>
      </c>
    </row>
    <row r="249" spans="1:14">
      <c r="A249" t="s">
        <v>791</v>
      </c>
      <c r="B249" s="8" t="s">
        <v>27</v>
      </c>
      <c r="C249" s="8" t="s">
        <v>1036</v>
      </c>
      <c r="D249" t="s">
        <v>46</v>
      </c>
      <c r="E249">
        <v>97.29</v>
      </c>
      <c r="F249">
        <v>8</v>
      </c>
      <c r="G249">
        <v>38.915999999999997</v>
      </c>
      <c r="H249" s="5">
        <v>817.23599999999999</v>
      </c>
      <c r="I249" s="1">
        <v>43533</v>
      </c>
      <c r="J249" s="1">
        <v>0.5541666666666667</v>
      </c>
      <c r="K249" s="8" t="s">
        <v>33</v>
      </c>
      <c r="L249">
        <v>778.32</v>
      </c>
      <c r="M249">
        <v>38.915999999999997</v>
      </c>
      <c r="N249">
        <v>6.2</v>
      </c>
    </row>
    <row r="250" spans="1:14">
      <c r="A250" t="s">
        <v>429</v>
      </c>
      <c r="B250" s="8" t="s">
        <v>20</v>
      </c>
      <c r="C250" s="8" t="s">
        <v>1036</v>
      </c>
      <c r="D250" t="s">
        <v>36</v>
      </c>
      <c r="E250">
        <v>52.26</v>
      </c>
      <c r="F250">
        <v>10</v>
      </c>
      <c r="G250">
        <v>26.13</v>
      </c>
      <c r="H250" s="5">
        <v>548.73</v>
      </c>
      <c r="I250" s="1">
        <v>43533</v>
      </c>
      <c r="J250" s="1">
        <v>0.53125</v>
      </c>
      <c r="K250" s="8" t="s">
        <v>33</v>
      </c>
      <c r="L250">
        <v>522.6</v>
      </c>
      <c r="M250">
        <v>26.13</v>
      </c>
      <c r="N250">
        <v>6.2</v>
      </c>
    </row>
    <row r="251" spans="1:14">
      <c r="A251" t="s">
        <v>662</v>
      </c>
      <c r="B251" s="8" t="s">
        <v>27</v>
      </c>
      <c r="C251" s="8" t="s">
        <v>1037</v>
      </c>
      <c r="D251" t="s">
        <v>36</v>
      </c>
      <c r="E251">
        <v>60.87</v>
      </c>
      <c r="F251">
        <v>2</v>
      </c>
      <c r="G251">
        <v>6.0869999999999997</v>
      </c>
      <c r="H251" s="5">
        <v>127.827</v>
      </c>
      <c r="I251" s="1">
        <v>43533</v>
      </c>
      <c r="J251" s="1">
        <v>0.52569444444444446</v>
      </c>
      <c r="K251" s="8" t="s">
        <v>23</v>
      </c>
      <c r="L251">
        <v>121.74</v>
      </c>
      <c r="M251">
        <v>6.0869999999999997</v>
      </c>
      <c r="N251">
        <v>8.6999999999999993</v>
      </c>
    </row>
    <row r="252" spans="1:14">
      <c r="A252" t="s">
        <v>362</v>
      </c>
      <c r="B252" s="8" t="s">
        <v>20</v>
      </c>
      <c r="C252" s="8" t="s">
        <v>1037</v>
      </c>
      <c r="D252" t="s">
        <v>44</v>
      </c>
      <c r="E252">
        <v>99.78</v>
      </c>
      <c r="F252">
        <v>5</v>
      </c>
      <c r="G252">
        <v>24.945</v>
      </c>
      <c r="H252" s="5">
        <v>523.84500000000003</v>
      </c>
      <c r="I252" s="1">
        <v>43533</v>
      </c>
      <c r="J252" s="1">
        <v>0.79791666666666672</v>
      </c>
      <c r="K252" s="8" t="s">
        <v>29</v>
      </c>
      <c r="L252">
        <v>498.9</v>
      </c>
      <c r="M252">
        <v>24.945</v>
      </c>
      <c r="N252">
        <v>5.4</v>
      </c>
    </row>
    <row r="253" spans="1:14">
      <c r="A253" t="s">
        <v>270</v>
      </c>
      <c r="B253" s="8" t="s">
        <v>20</v>
      </c>
      <c r="C253" s="8" t="s">
        <v>1037</v>
      </c>
      <c r="D253" t="s">
        <v>22</v>
      </c>
      <c r="E253">
        <v>51.94</v>
      </c>
      <c r="F253">
        <v>10</v>
      </c>
      <c r="G253">
        <v>25.97</v>
      </c>
      <c r="H253" s="5">
        <v>545.37</v>
      </c>
      <c r="I253" s="1">
        <v>43533</v>
      </c>
      <c r="J253" s="1">
        <v>0.76666666666666672</v>
      </c>
      <c r="K253" s="8" t="s">
        <v>23</v>
      </c>
      <c r="L253">
        <v>519.4</v>
      </c>
      <c r="M253">
        <v>25.97</v>
      </c>
      <c r="N253">
        <v>6.5</v>
      </c>
    </row>
    <row r="254" spans="1:14">
      <c r="A254" t="s">
        <v>449</v>
      </c>
      <c r="B254" s="8" t="s">
        <v>27</v>
      </c>
      <c r="C254" s="8" t="s">
        <v>1037</v>
      </c>
      <c r="D254" t="s">
        <v>36</v>
      </c>
      <c r="E254">
        <v>25.84</v>
      </c>
      <c r="F254">
        <v>3</v>
      </c>
      <c r="G254">
        <v>3.8759999999999999</v>
      </c>
      <c r="H254" s="5">
        <v>81.396000000000001</v>
      </c>
      <c r="I254" s="1">
        <v>43534</v>
      </c>
      <c r="J254" s="1">
        <v>0.78819444444444442</v>
      </c>
      <c r="K254" s="8" t="s">
        <v>23</v>
      </c>
      <c r="L254">
        <v>77.52</v>
      </c>
      <c r="M254">
        <v>3.8759999999999999</v>
      </c>
      <c r="N254">
        <v>6.6</v>
      </c>
    </row>
    <row r="255" spans="1:14">
      <c r="A255" t="s">
        <v>72</v>
      </c>
      <c r="B255" s="8" t="s">
        <v>20</v>
      </c>
      <c r="C255" s="8" t="s">
        <v>1037</v>
      </c>
      <c r="D255" t="s">
        <v>36</v>
      </c>
      <c r="E255">
        <v>62.62</v>
      </c>
      <c r="F255">
        <v>5</v>
      </c>
      <c r="G255">
        <v>15.654999999999999</v>
      </c>
      <c r="H255" s="5">
        <v>328.755</v>
      </c>
      <c r="I255" s="1">
        <v>43534</v>
      </c>
      <c r="J255" s="1">
        <v>0.80208333333333337</v>
      </c>
      <c r="K255" s="8" t="s">
        <v>23</v>
      </c>
      <c r="L255">
        <v>313.10000000000002</v>
      </c>
      <c r="M255">
        <v>15.654999999999999</v>
      </c>
      <c r="N255">
        <v>7</v>
      </c>
    </row>
    <row r="256" spans="1:14">
      <c r="A256" t="s">
        <v>63</v>
      </c>
      <c r="B256" s="8" t="s">
        <v>27</v>
      </c>
      <c r="C256" s="8" t="s">
        <v>1036</v>
      </c>
      <c r="D256" t="s">
        <v>46</v>
      </c>
      <c r="E256">
        <v>87.67</v>
      </c>
      <c r="F256">
        <v>2</v>
      </c>
      <c r="G256">
        <v>8.7669999999999995</v>
      </c>
      <c r="H256" s="5">
        <v>184.107</v>
      </c>
      <c r="I256" s="1">
        <v>43534</v>
      </c>
      <c r="J256" s="1">
        <v>0.51180555555555551</v>
      </c>
      <c r="K256" s="8" t="s">
        <v>33</v>
      </c>
      <c r="L256">
        <v>175.34</v>
      </c>
      <c r="M256">
        <v>8.7669999999999995</v>
      </c>
      <c r="N256">
        <v>7.7</v>
      </c>
    </row>
    <row r="257" spans="1:14">
      <c r="A257" t="s">
        <v>1028</v>
      </c>
      <c r="B257" s="8" t="s">
        <v>27</v>
      </c>
      <c r="C257" s="8" t="s">
        <v>1037</v>
      </c>
      <c r="D257" t="s">
        <v>28</v>
      </c>
      <c r="E257">
        <v>58.03</v>
      </c>
      <c r="F257">
        <v>2</v>
      </c>
      <c r="G257">
        <v>5.8029999999999999</v>
      </c>
      <c r="H257" s="5">
        <v>121.863</v>
      </c>
      <c r="I257" s="1">
        <v>43534</v>
      </c>
      <c r="J257" s="1">
        <v>0.86527777777777781</v>
      </c>
      <c r="K257" s="8" t="s">
        <v>23</v>
      </c>
      <c r="L257">
        <v>116.06</v>
      </c>
      <c r="M257">
        <v>5.8029999999999999</v>
      </c>
      <c r="N257">
        <v>8.8000000000000007</v>
      </c>
    </row>
    <row r="258" spans="1:14">
      <c r="A258" t="s">
        <v>608</v>
      </c>
      <c r="B258" s="8" t="s">
        <v>20</v>
      </c>
      <c r="C258" s="8" t="s">
        <v>1037</v>
      </c>
      <c r="D258" t="s">
        <v>44</v>
      </c>
      <c r="E258">
        <v>10.130000000000001</v>
      </c>
      <c r="F258">
        <v>7</v>
      </c>
      <c r="G258">
        <v>3.5455000000000001</v>
      </c>
      <c r="H258" s="5">
        <v>74.455500000000001</v>
      </c>
      <c r="I258" s="1">
        <v>43534</v>
      </c>
      <c r="J258" s="1">
        <v>0.81597222222222221</v>
      </c>
      <c r="K258" s="8" t="s">
        <v>23</v>
      </c>
      <c r="L258">
        <v>70.91</v>
      </c>
      <c r="M258">
        <v>3.5455000000000001</v>
      </c>
      <c r="N258">
        <v>8.3000000000000007</v>
      </c>
    </row>
    <row r="259" spans="1:14">
      <c r="A259" t="s">
        <v>161</v>
      </c>
      <c r="B259" s="8" t="s">
        <v>27</v>
      </c>
      <c r="C259" s="8" t="s">
        <v>1036</v>
      </c>
      <c r="D259" t="s">
        <v>32</v>
      </c>
      <c r="E259">
        <v>93.69</v>
      </c>
      <c r="F259">
        <v>7</v>
      </c>
      <c r="G259">
        <v>32.791499999999999</v>
      </c>
      <c r="H259" s="5">
        <v>688.62149999999997</v>
      </c>
      <c r="I259" s="1">
        <v>43534</v>
      </c>
      <c r="J259" s="1">
        <v>0.78055555555555556</v>
      </c>
      <c r="K259" s="8" t="s">
        <v>33</v>
      </c>
      <c r="L259">
        <v>655.83</v>
      </c>
      <c r="M259">
        <v>32.791499999999999</v>
      </c>
      <c r="N259">
        <v>4.5</v>
      </c>
    </row>
    <row r="260" spans="1:14">
      <c r="A260" t="s">
        <v>953</v>
      </c>
      <c r="B260" s="8" t="s">
        <v>27</v>
      </c>
      <c r="C260" s="8" t="s">
        <v>1036</v>
      </c>
      <c r="D260" t="s">
        <v>46</v>
      </c>
      <c r="E260">
        <v>94.67</v>
      </c>
      <c r="F260">
        <v>4</v>
      </c>
      <c r="G260">
        <v>18.934000000000001</v>
      </c>
      <c r="H260" s="5">
        <v>397.61399999999998</v>
      </c>
      <c r="I260" s="1">
        <v>43535</v>
      </c>
      <c r="J260" s="1">
        <v>0.50277777777777777</v>
      </c>
      <c r="K260" s="8" t="s">
        <v>29</v>
      </c>
      <c r="L260">
        <v>378.68</v>
      </c>
      <c r="M260">
        <v>18.934000000000001</v>
      </c>
      <c r="N260">
        <v>6.8</v>
      </c>
    </row>
    <row r="261" spans="1:14">
      <c r="A261" t="s">
        <v>52</v>
      </c>
      <c r="B261" s="8" t="s">
        <v>20</v>
      </c>
      <c r="C261" s="8" t="s">
        <v>1036</v>
      </c>
      <c r="D261" t="s">
        <v>22</v>
      </c>
      <c r="E261">
        <v>68.930000000000007</v>
      </c>
      <c r="F261">
        <v>7</v>
      </c>
      <c r="G261">
        <v>24.125499999999999</v>
      </c>
      <c r="H261" s="5">
        <v>506.63549999999998</v>
      </c>
      <c r="I261" s="1">
        <v>43535</v>
      </c>
      <c r="J261" s="1">
        <v>0.46041666666666664</v>
      </c>
      <c r="K261" s="8" t="s">
        <v>33</v>
      </c>
      <c r="L261">
        <v>482.51</v>
      </c>
      <c r="M261">
        <v>24.125499999999999</v>
      </c>
      <c r="N261">
        <v>4.5999999999999996</v>
      </c>
    </row>
    <row r="262" spans="1:14">
      <c r="A262" t="s">
        <v>265</v>
      </c>
      <c r="B262" s="8" t="s">
        <v>27</v>
      </c>
      <c r="C262" s="8" t="s">
        <v>1036</v>
      </c>
      <c r="D262" t="s">
        <v>32</v>
      </c>
      <c r="E262">
        <v>63.42</v>
      </c>
      <c r="F262">
        <v>8</v>
      </c>
      <c r="G262">
        <v>25.367999999999999</v>
      </c>
      <c r="H262" s="5">
        <v>532.72799999999995</v>
      </c>
      <c r="I262" s="1">
        <v>43535</v>
      </c>
      <c r="J262" s="1">
        <v>0.53819444444444442</v>
      </c>
      <c r="K262" s="8" t="s">
        <v>23</v>
      </c>
      <c r="L262">
        <v>507.36</v>
      </c>
      <c r="M262">
        <v>25.367999999999999</v>
      </c>
      <c r="N262">
        <v>7.4</v>
      </c>
    </row>
    <row r="263" spans="1:14">
      <c r="A263" t="s">
        <v>277</v>
      </c>
      <c r="B263" s="8" t="s">
        <v>27</v>
      </c>
      <c r="C263" s="8" t="s">
        <v>1037</v>
      </c>
      <c r="D263" t="s">
        <v>22</v>
      </c>
      <c r="E263">
        <v>59.77</v>
      </c>
      <c r="F263">
        <v>2</v>
      </c>
      <c r="G263">
        <v>5.9770000000000003</v>
      </c>
      <c r="H263" s="5">
        <v>125.517</v>
      </c>
      <c r="I263" s="1">
        <v>43535</v>
      </c>
      <c r="J263" s="1">
        <v>0.50069444444444444</v>
      </c>
      <c r="K263" s="8" t="s">
        <v>33</v>
      </c>
      <c r="L263">
        <v>119.54</v>
      </c>
      <c r="M263">
        <v>5.9770000000000003</v>
      </c>
      <c r="N263">
        <v>5.8</v>
      </c>
    </row>
    <row r="264" spans="1:14">
      <c r="A264" t="s">
        <v>570</v>
      </c>
      <c r="B264" s="8" t="s">
        <v>27</v>
      </c>
      <c r="C264" s="8" t="s">
        <v>1036</v>
      </c>
      <c r="D264" t="s">
        <v>32</v>
      </c>
      <c r="E264">
        <v>28.32</v>
      </c>
      <c r="F264">
        <v>5</v>
      </c>
      <c r="G264">
        <v>7.08</v>
      </c>
      <c r="H264" s="5">
        <v>148.68</v>
      </c>
      <c r="I264" s="1">
        <v>43535</v>
      </c>
      <c r="J264" s="1">
        <v>0.56111111111111112</v>
      </c>
      <c r="K264" s="8" t="s">
        <v>23</v>
      </c>
      <c r="L264">
        <v>141.6</v>
      </c>
      <c r="M264">
        <v>7.08</v>
      </c>
      <c r="N264">
        <v>6.2</v>
      </c>
    </row>
    <row r="265" spans="1:14">
      <c r="A265" t="s">
        <v>320</v>
      </c>
      <c r="B265" s="8" t="s">
        <v>20</v>
      </c>
      <c r="C265" s="8" t="s">
        <v>1036</v>
      </c>
      <c r="D265" t="s">
        <v>22</v>
      </c>
      <c r="E265">
        <v>47.67</v>
      </c>
      <c r="F265">
        <v>4</v>
      </c>
      <c r="G265">
        <v>9.5340000000000007</v>
      </c>
      <c r="H265" s="5">
        <v>200.214</v>
      </c>
      <c r="I265" s="1">
        <v>43536</v>
      </c>
      <c r="J265" s="1">
        <v>0.59791666666666665</v>
      </c>
      <c r="K265" s="8" t="s">
        <v>29</v>
      </c>
      <c r="L265">
        <v>190.68</v>
      </c>
      <c r="M265">
        <v>9.5340000000000007</v>
      </c>
      <c r="N265">
        <v>9.1</v>
      </c>
    </row>
    <row r="266" spans="1:14">
      <c r="A266" t="s">
        <v>301</v>
      </c>
      <c r="B266" s="8" t="s">
        <v>20</v>
      </c>
      <c r="C266" s="8" t="s">
        <v>1036</v>
      </c>
      <c r="D266" t="s">
        <v>36</v>
      </c>
      <c r="E266">
        <v>98.4</v>
      </c>
      <c r="F266">
        <v>7</v>
      </c>
      <c r="G266">
        <v>34.44</v>
      </c>
      <c r="H266" s="5">
        <v>723.24</v>
      </c>
      <c r="I266" s="1">
        <v>43536</v>
      </c>
      <c r="J266" s="1">
        <v>0.52986111111111112</v>
      </c>
      <c r="K266" s="8" t="s">
        <v>33</v>
      </c>
      <c r="L266">
        <v>688.8</v>
      </c>
      <c r="M266">
        <v>34.44</v>
      </c>
      <c r="N266">
        <v>8.6999999999999993</v>
      </c>
    </row>
    <row r="267" spans="1:14">
      <c r="A267" t="s">
        <v>101</v>
      </c>
      <c r="B267" s="8" t="s">
        <v>20</v>
      </c>
      <c r="C267" s="8" t="s">
        <v>1037</v>
      </c>
      <c r="D267" t="s">
        <v>22</v>
      </c>
      <c r="E267">
        <v>15.87</v>
      </c>
      <c r="F267">
        <v>10</v>
      </c>
      <c r="G267">
        <v>7.9349999999999996</v>
      </c>
      <c r="H267" s="5">
        <v>166.63499999999999</v>
      </c>
      <c r="I267" s="1">
        <v>43537</v>
      </c>
      <c r="J267" s="1">
        <v>0.69444444444444442</v>
      </c>
      <c r="K267" s="8" t="s">
        <v>29</v>
      </c>
      <c r="L267">
        <v>158.69999999999999</v>
      </c>
      <c r="M267">
        <v>7.9349999999999996</v>
      </c>
      <c r="N267">
        <v>5.8</v>
      </c>
    </row>
    <row r="268" spans="1:14">
      <c r="A268" t="s">
        <v>432</v>
      </c>
      <c r="B268" s="8" t="s">
        <v>27</v>
      </c>
      <c r="C268" s="8" t="s">
        <v>1036</v>
      </c>
      <c r="D268" t="s">
        <v>44</v>
      </c>
      <c r="E268">
        <v>54.27</v>
      </c>
      <c r="F268">
        <v>5</v>
      </c>
      <c r="G268">
        <v>13.567500000000001</v>
      </c>
      <c r="H268" s="5">
        <v>284.91750000000002</v>
      </c>
      <c r="I268" s="1">
        <v>43537</v>
      </c>
      <c r="J268" s="1">
        <v>0.59444444444444444</v>
      </c>
      <c r="K268" s="8" t="s">
        <v>23</v>
      </c>
      <c r="L268">
        <v>271.35000000000002</v>
      </c>
      <c r="M268">
        <v>13.567500000000001</v>
      </c>
      <c r="N268">
        <v>4.5999999999999996</v>
      </c>
    </row>
    <row r="269" spans="1:14">
      <c r="A269" t="s">
        <v>198</v>
      </c>
      <c r="B269" s="8" t="s">
        <v>27</v>
      </c>
      <c r="C269" s="8" t="s">
        <v>1037</v>
      </c>
      <c r="D269" t="s">
        <v>44</v>
      </c>
      <c r="E269">
        <v>45.79</v>
      </c>
      <c r="F269">
        <v>7</v>
      </c>
      <c r="G269">
        <v>16.026499999999999</v>
      </c>
      <c r="H269" s="5">
        <v>336.55650000000003</v>
      </c>
      <c r="I269" s="1">
        <v>43537</v>
      </c>
      <c r="J269" s="1">
        <v>0.82222222222222219</v>
      </c>
      <c r="K269" s="8" t="s">
        <v>33</v>
      </c>
      <c r="L269">
        <v>320.52999999999997</v>
      </c>
      <c r="M269">
        <v>16.026499999999999</v>
      </c>
      <c r="N269">
        <v>7</v>
      </c>
    </row>
    <row r="270" spans="1:14">
      <c r="A270" t="s">
        <v>691</v>
      </c>
      <c r="B270" s="8" t="s">
        <v>27</v>
      </c>
      <c r="C270" s="8" t="s">
        <v>1036</v>
      </c>
      <c r="D270" t="s">
        <v>28</v>
      </c>
      <c r="E270">
        <v>15.69</v>
      </c>
      <c r="F270">
        <v>3</v>
      </c>
      <c r="G270">
        <v>2.3534999999999999</v>
      </c>
      <c r="H270" s="5">
        <v>49.423499999999997</v>
      </c>
      <c r="I270" s="1">
        <v>43538</v>
      </c>
      <c r="J270" s="1">
        <v>0.59236111111111112</v>
      </c>
      <c r="K270" s="8" t="s">
        <v>33</v>
      </c>
      <c r="L270">
        <v>47.07</v>
      </c>
      <c r="M270">
        <v>2.3534999999999999</v>
      </c>
      <c r="N270">
        <v>5.8</v>
      </c>
    </row>
    <row r="271" spans="1:14">
      <c r="A271" t="s">
        <v>549</v>
      </c>
      <c r="B271" s="8" t="s">
        <v>27</v>
      </c>
      <c r="C271" s="8" t="s">
        <v>1037</v>
      </c>
      <c r="D271" t="s">
        <v>28</v>
      </c>
      <c r="E271">
        <v>99.55</v>
      </c>
      <c r="F271">
        <v>7</v>
      </c>
      <c r="G271">
        <v>34.842500000000001</v>
      </c>
      <c r="H271" s="5">
        <v>731.6925</v>
      </c>
      <c r="I271" s="1">
        <v>43538</v>
      </c>
      <c r="J271" s="1">
        <v>0.50486111111111109</v>
      </c>
      <c r="K271" s="8" t="s">
        <v>29</v>
      </c>
      <c r="L271">
        <v>696.85</v>
      </c>
      <c r="M271">
        <v>34.842500000000001</v>
      </c>
      <c r="N271">
        <v>7.6</v>
      </c>
    </row>
    <row r="272" spans="1:14">
      <c r="A272" t="s">
        <v>1018</v>
      </c>
      <c r="B272" s="8" t="s">
        <v>20</v>
      </c>
      <c r="C272" s="8" t="s">
        <v>1036</v>
      </c>
      <c r="D272" t="s">
        <v>36</v>
      </c>
      <c r="E272">
        <v>97.48</v>
      </c>
      <c r="F272">
        <v>9</v>
      </c>
      <c r="G272">
        <v>43.866</v>
      </c>
      <c r="H272" s="5">
        <v>921.18600000000004</v>
      </c>
      <c r="I272" s="1">
        <v>43538</v>
      </c>
      <c r="J272" s="1">
        <v>0.59652777777777777</v>
      </c>
      <c r="K272" s="8" t="s">
        <v>23</v>
      </c>
      <c r="L272">
        <v>877.32</v>
      </c>
      <c r="M272">
        <v>43.866</v>
      </c>
      <c r="N272">
        <v>7.4</v>
      </c>
    </row>
    <row r="273" spans="1:14">
      <c r="A273" t="s">
        <v>369</v>
      </c>
      <c r="B273" s="8" t="s">
        <v>20</v>
      </c>
      <c r="C273" s="8" t="s">
        <v>1037</v>
      </c>
      <c r="D273" t="s">
        <v>44</v>
      </c>
      <c r="E273">
        <v>23.48</v>
      </c>
      <c r="F273">
        <v>2</v>
      </c>
      <c r="G273">
        <v>2.3479999999999999</v>
      </c>
      <c r="H273" s="5">
        <v>49.308</v>
      </c>
      <c r="I273" s="1">
        <v>43538</v>
      </c>
      <c r="J273" s="1">
        <v>0.47291666666666665</v>
      </c>
      <c r="K273" s="8" t="s">
        <v>33</v>
      </c>
      <c r="L273">
        <v>46.96</v>
      </c>
      <c r="M273">
        <v>2.3479999999999999</v>
      </c>
      <c r="N273">
        <v>7.9</v>
      </c>
    </row>
    <row r="274" spans="1:14">
      <c r="A274" t="s">
        <v>527</v>
      </c>
      <c r="B274" s="8" t="s">
        <v>20</v>
      </c>
      <c r="C274" s="8" t="s">
        <v>1036</v>
      </c>
      <c r="D274" t="s">
        <v>46</v>
      </c>
      <c r="E274">
        <v>19.66</v>
      </c>
      <c r="F274">
        <v>10</v>
      </c>
      <c r="G274">
        <v>9.83</v>
      </c>
      <c r="H274" s="5">
        <v>206.43</v>
      </c>
      <c r="I274" s="1">
        <v>43539</v>
      </c>
      <c r="J274" s="1">
        <v>0.76388888888888884</v>
      </c>
      <c r="K274" s="8" t="s">
        <v>33</v>
      </c>
      <c r="L274">
        <v>196.6</v>
      </c>
      <c r="M274">
        <v>9.83</v>
      </c>
      <c r="N274">
        <v>7.2</v>
      </c>
    </row>
    <row r="275" spans="1:14">
      <c r="A275" t="s">
        <v>65</v>
      </c>
      <c r="B275" s="8" t="s">
        <v>27</v>
      </c>
      <c r="C275" s="8" t="s">
        <v>1037</v>
      </c>
      <c r="D275" t="s">
        <v>22</v>
      </c>
      <c r="E275">
        <v>24.89</v>
      </c>
      <c r="F275">
        <v>9</v>
      </c>
      <c r="G275">
        <v>11.2005</v>
      </c>
      <c r="H275" s="5">
        <v>235.2105</v>
      </c>
      <c r="I275" s="1">
        <v>43539</v>
      </c>
      <c r="J275" s="1">
        <v>0.65</v>
      </c>
      <c r="K275" s="8" t="s">
        <v>29</v>
      </c>
      <c r="L275">
        <v>224.01</v>
      </c>
      <c r="M275">
        <v>11.2005</v>
      </c>
      <c r="N275">
        <v>7.4</v>
      </c>
    </row>
    <row r="276" spans="1:14">
      <c r="A276" t="s">
        <v>69</v>
      </c>
      <c r="B276" s="8" t="s">
        <v>27</v>
      </c>
      <c r="C276" s="8" t="s">
        <v>1037</v>
      </c>
      <c r="D276" t="s">
        <v>22</v>
      </c>
      <c r="E276">
        <v>96.58</v>
      </c>
      <c r="F276">
        <v>2</v>
      </c>
      <c r="G276">
        <v>9.6579999999999995</v>
      </c>
      <c r="H276" s="5">
        <v>202.81800000000001</v>
      </c>
      <c r="I276" s="1">
        <v>43539</v>
      </c>
      <c r="J276" s="1">
        <v>0.42499999999999999</v>
      </c>
      <c r="K276" s="8" t="s">
        <v>33</v>
      </c>
      <c r="L276">
        <v>193.16</v>
      </c>
      <c r="M276">
        <v>9.6579999999999995</v>
      </c>
      <c r="N276">
        <v>5.0999999999999996</v>
      </c>
    </row>
    <row r="277" spans="1:14">
      <c r="A277" t="s">
        <v>488</v>
      </c>
      <c r="B277" s="8" t="s">
        <v>27</v>
      </c>
      <c r="C277" s="8" t="s">
        <v>1036</v>
      </c>
      <c r="D277" t="s">
        <v>44</v>
      </c>
      <c r="E277">
        <v>63.61</v>
      </c>
      <c r="F277">
        <v>5</v>
      </c>
      <c r="G277">
        <v>15.9025</v>
      </c>
      <c r="H277" s="5">
        <v>333.95249999999999</v>
      </c>
      <c r="I277" s="1">
        <v>43540</v>
      </c>
      <c r="J277" s="1">
        <v>0.52986111111111112</v>
      </c>
      <c r="K277" s="8" t="s">
        <v>23</v>
      </c>
      <c r="L277">
        <v>318.05</v>
      </c>
      <c r="M277">
        <v>15.9025</v>
      </c>
      <c r="N277">
        <v>4.8</v>
      </c>
    </row>
    <row r="278" spans="1:14">
      <c r="A278" t="s">
        <v>175</v>
      </c>
      <c r="B278" s="8" t="s">
        <v>27</v>
      </c>
      <c r="C278" s="8" t="s">
        <v>1037</v>
      </c>
      <c r="D278" t="s">
        <v>36</v>
      </c>
      <c r="E278">
        <v>72.5</v>
      </c>
      <c r="F278">
        <v>8</v>
      </c>
      <c r="G278">
        <v>29</v>
      </c>
      <c r="H278" s="5">
        <v>609</v>
      </c>
      <c r="I278" s="1">
        <v>43540</v>
      </c>
      <c r="J278" s="1">
        <v>0.80902777777777779</v>
      </c>
      <c r="K278" s="8" t="s">
        <v>23</v>
      </c>
      <c r="L278">
        <v>580</v>
      </c>
      <c r="M278">
        <v>29</v>
      </c>
      <c r="N278">
        <v>9.1999999999999993</v>
      </c>
    </row>
    <row r="279" spans="1:14">
      <c r="A279" t="s">
        <v>289</v>
      </c>
      <c r="B279" s="8" t="s">
        <v>27</v>
      </c>
      <c r="C279" s="8" t="s">
        <v>1037</v>
      </c>
      <c r="D279" t="s">
        <v>32</v>
      </c>
      <c r="E279">
        <v>23.75</v>
      </c>
      <c r="F279">
        <v>4</v>
      </c>
      <c r="G279">
        <v>4.75</v>
      </c>
      <c r="H279" s="5">
        <v>99.75</v>
      </c>
      <c r="I279" s="1">
        <v>43540</v>
      </c>
      <c r="J279" s="1">
        <v>0.47361111111111109</v>
      </c>
      <c r="K279" s="8" t="s">
        <v>29</v>
      </c>
      <c r="L279">
        <v>95</v>
      </c>
      <c r="M279">
        <v>4.75</v>
      </c>
      <c r="N279">
        <v>5.2</v>
      </c>
    </row>
    <row r="280" spans="1:14">
      <c r="A280" t="s">
        <v>841</v>
      </c>
      <c r="B280" s="8" t="s">
        <v>27</v>
      </c>
      <c r="C280" s="8" t="s">
        <v>1036</v>
      </c>
      <c r="D280" t="s">
        <v>32</v>
      </c>
      <c r="E280">
        <v>77.47</v>
      </c>
      <c r="F280">
        <v>4</v>
      </c>
      <c r="G280">
        <v>15.494</v>
      </c>
      <c r="H280" s="5">
        <v>325.37400000000002</v>
      </c>
      <c r="I280" s="1">
        <v>43541</v>
      </c>
      <c r="J280" s="1">
        <v>0.69166666666666665</v>
      </c>
      <c r="K280" s="8" t="s">
        <v>29</v>
      </c>
      <c r="L280">
        <v>309.88</v>
      </c>
      <c r="M280">
        <v>15.494</v>
      </c>
      <c r="N280">
        <v>4.2</v>
      </c>
    </row>
    <row r="281" spans="1:14">
      <c r="A281" t="s">
        <v>925</v>
      </c>
      <c r="B281" s="8" t="s">
        <v>20</v>
      </c>
      <c r="C281" s="8" t="s">
        <v>1037</v>
      </c>
      <c r="D281" t="s">
        <v>36</v>
      </c>
      <c r="E281">
        <v>76.92</v>
      </c>
      <c r="F281">
        <v>10</v>
      </c>
      <c r="G281">
        <v>38.46</v>
      </c>
      <c r="H281" s="5">
        <v>807.66</v>
      </c>
      <c r="I281" s="1">
        <v>43541</v>
      </c>
      <c r="J281" s="1">
        <v>0.82847222222222228</v>
      </c>
      <c r="K281" s="8" t="s">
        <v>23</v>
      </c>
      <c r="L281">
        <v>769.2</v>
      </c>
      <c r="M281">
        <v>38.46</v>
      </c>
      <c r="N281">
        <v>5.6</v>
      </c>
    </row>
    <row r="282" spans="1:14">
      <c r="A282" t="s">
        <v>339</v>
      </c>
      <c r="B282" s="8" t="s">
        <v>27</v>
      </c>
      <c r="C282" s="8" t="s">
        <v>1036</v>
      </c>
      <c r="D282" t="s">
        <v>28</v>
      </c>
      <c r="E282">
        <v>51.19</v>
      </c>
      <c r="F282">
        <v>4</v>
      </c>
      <c r="G282">
        <v>10.238</v>
      </c>
      <c r="H282" s="5">
        <v>214.99799999999999</v>
      </c>
      <c r="I282" s="1">
        <v>43542</v>
      </c>
      <c r="J282" s="1">
        <v>0.71875</v>
      </c>
      <c r="K282" s="8" t="s">
        <v>33</v>
      </c>
      <c r="L282">
        <v>204.76</v>
      </c>
      <c r="M282">
        <v>10.238</v>
      </c>
      <c r="N282">
        <v>4.7</v>
      </c>
    </row>
    <row r="283" spans="1:14">
      <c r="A283" t="s">
        <v>512</v>
      </c>
      <c r="B283" s="8" t="s">
        <v>27</v>
      </c>
      <c r="C283" s="8" t="s">
        <v>1036</v>
      </c>
      <c r="D283" t="s">
        <v>36</v>
      </c>
      <c r="E283">
        <v>33.26</v>
      </c>
      <c r="F283">
        <v>5</v>
      </c>
      <c r="G283">
        <v>8.3149999999999995</v>
      </c>
      <c r="H283" s="5">
        <v>174.61500000000001</v>
      </c>
      <c r="I283" s="1">
        <v>43542</v>
      </c>
      <c r="J283" s="1">
        <v>0.67361111111111116</v>
      </c>
      <c r="K283" s="8" t="s">
        <v>33</v>
      </c>
      <c r="L283">
        <v>166.3</v>
      </c>
      <c r="M283">
        <v>8.3149999999999995</v>
      </c>
      <c r="N283">
        <v>4.2</v>
      </c>
    </row>
    <row r="284" spans="1:14">
      <c r="A284" t="s">
        <v>910</v>
      </c>
      <c r="B284" s="8" t="s">
        <v>20</v>
      </c>
      <c r="C284" s="8" t="s">
        <v>1037</v>
      </c>
      <c r="D284" t="s">
        <v>32</v>
      </c>
      <c r="E284">
        <v>23.29</v>
      </c>
      <c r="F284">
        <v>4</v>
      </c>
      <c r="G284">
        <v>4.6580000000000004</v>
      </c>
      <c r="H284" s="5">
        <v>97.817999999999998</v>
      </c>
      <c r="I284" s="1">
        <v>43543</v>
      </c>
      <c r="J284" s="1">
        <v>0.49444444444444446</v>
      </c>
      <c r="K284" s="8" t="s">
        <v>33</v>
      </c>
      <c r="L284">
        <v>93.16</v>
      </c>
      <c r="M284">
        <v>4.6580000000000004</v>
      </c>
      <c r="N284">
        <v>5.9</v>
      </c>
    </row>
    <row r="285" spans="1:14">
      <c r="A285" t="s">
        <v>372</v>
      </c>
      <c r="B285" s="8" t="s">
        <v>27</v>
      </c>
      <c r="C285" s="8" t="s">
        <v>1037</v>
      </c>
      <c r="D285" t="s">
        <v>46</v>
      </c>
      <c r="E285">
        <v>76.400000000000006</v>
      </c>
      <c r="F285">
        <v>9</v>
      </c>
      <c r="G285">
        <v>34.380000000000003</v>
      </c>
      <c r="H285" s="5">
        <v>721.98</v>
      </c>
      <c r="I285" s="1">
        <v>43543</v>
      </c>
      <c r="J285" s="1">
        <v>0.65902777777777777</v>
      </c>
      <c r="K285" s="8" t="s">
        <v>23</v>
      </c>
      <c r="L285">
        <v>687.6</v>
      </c>
      <c r="M285">
        <v>34.380000000000003</v>
      </c>
      <c r="N285">
        <v>7.5</v>
      </c>
    </row>
    <row r="286" spans="1:14">
      <c r="A286" t="s">
        <v>920</v>
      </c>
      <c r="B286" s="8" t="s">
        <v>20</v>
      </c>
      <c r="C286" s="8" t="s">
        <v>1036</v>
      </c>
      <c r="D286" t="s">
        <v>44</v>
      </c>
      <c r="E286">
        <v>83.34</v>
      </c>
      <c r="F286">
        <v>2</v>
      </c>
      <c r="G286">
        <v>8.3339999999999996</v>
      </c>
      <c r="H286" s="5">
        <v>175.01400000000001</v>
      </c>
      <c r="I286" s="1">
        <v>43543</v>
      </c>
      <c r="J286" s="1">
        <v>0.56736111111111109</v>
      </c>
      <c r="K286" s="8" t="s">
        <v>29</v>
      </c>
      <c r="L286">
        <v>166.68</v>
      </c>
      <c r="M286">
        <v>8.3339999999999996</v>
      </c>
      <c r="N286">
        <v>7.6</v>
      </c>
    </row>
    <row r="287" spans="1:14">
      <c r="A287" t="s">
        <v>296</v>
      </c>
      <c r="B287" s="8" t="s">
        <v>27</v>
      </c>
      <c r="C287" s="8" t="s">
        <v>1036</v>
      </c>
      <c r="D287" t="s">
        <v>28</v>
      </c>
      <c r="E287">
        <v>75.06</v>
      </c>
      <c r="F287">
        <v>9</v>
      </c>
      <c r="G287">
        <v>33.777000000000001</v>
      </c>
      <c r="H287" s="5">
        <v>709.31700000000001</v>
      </c>
      <c r="I287" s="1">
        <v>43543</v>
      </c>
      <c r="J287" s="1">
        <v>0.55902777777777779</v>
      </c>
      <c r="K287" s="8" t="s">
        <v>23</v>
      </c>
      <c r="L287">
        <v>675.54</v>
      </c>
      <c r="M287">
        <v>33.777000000000001</v>
      </c>
      <c r="N287">
        <v>6.2</v>
      </c>
    </row>
    <row r="288" spans="1:14">
      <c r="A288" t="s">
        <v>230</v>
      </c>
      <c r="B288" s="8" t="s">
        <v>27</v>
      </c>
      <c r="C288" s="8" t="s">
        <v>1037</v>
      </c>
      <c r="D288" t="s">
        <v>28</v>
      </c>
      <c r="E288">
        <v>32.71</v>
      </c>
      <c r="F288">
        <v>5</v>
      </c>
      <c r="G288">
        <v>8.1775000000000002</v>
      </c>
      <c r="H288" s="5">
        <v>171.72749999999999</v>
      </c>
      <c r="I288" s="1">
        <v>43543</v>
      </c>
      <c r="J288" s="1">
        <v>0.47916666666666669</v>
      </c>
      <c r="K288" s="8" t="s">
        <v>33</v>
      </c>
      <c r="L288">
        <v>163.55000000000001</v>
      </c>
      <c r="M288">
        <v>8.1775000000000002</v>
      </c>
      <c r="N288">
        <v>9.9</v>
      </c>
    </row>
    <row r="289" spans="1:14">
      <c r="A289" t="s">
        <v>998</v>
      </c>
      <c r="B289" s="8" t="s">
        <v>27</v>
      </c>
      <c r="C289" s="8" t="s">
        <v>1036</v>
      </c>
      <c r="D289" t="s">
        <v>46</v>
      </c>
      <c r="E289">
        <v>15.5</v>
      </c>
      <c r="F289">
        <v>1</v>
      </c>
      <c r="G289">
        <v>0.77500000000000002</v>
      </c>
      <c r="H289" s="5">
        <v>16.274999999999999</v>
      </c>
      <c r="I289" s="1">
        <v>43543</v>
      </c>
      <c r="J289" s="1">
        <v>0.64097222222222228</v>
      </c>
      <c r="K289" s="8" t="s">
        <v>33</v>
      </c>
      <c r="L289">
        <v>15.5</v>
      </c>
      <c r="M289">
        <v>0.77500000000000002</v>
      </c>
      <c r="N289">
        <v>7.4</v>
      </c>
    </row>
    <row r="290" spans="1:14">
      <c r="A290" t="s">
        <v>599</v>
      </c>
      <c r="B290" s="8" t="s">
        <v>20</v>
      </c>
      <c r="C290" s="8" t="s">
        <v>1037</v>
      </c>
      <c r="D290" t="s">
        <v>28</v>
      </c>
      <c r="E290">
        <v>74.510000000000005</v>
      </c>
      <c r="F290">
        <v>6</v>
      </c>
      <c r="G290">
        <v>22.353000000000002</v>
      </c>
      <c r="H290" s="5">
        <v>469.41300000000001</v>
      </c>
      <c r="I290" s="1">
        <v>43544</v>
      </c>
      <c r="J290" s="1">
        <v>0.63055555555555554</v>
      </c>
      <c r="K290" s="8" t="s">
        <v>23</v>
      </c>
      <c r="L290">
        <v>447.06</v>
      </c>
      <c r="M290">
        <v>22.353000000000002</v>
      </c>
      <c r="N290">
        <v>5</v>
      </c>
    </row>
    <row r="291" spans="1:14">
      <c r="A291" t="s">
        <v>657</v>
      </c>
      <c r="B291" s="8" t="s">
        <v>20</v>
      </c>
      <c r="C291" s="8" t="s">
        <v>1036</v>
      </c>
      <c r="D291" t="s">
        <v>44</v>
      </c>
      <c r="E291">
        <v>91.61</v>
      </c>
      <c r="F291">
        <v>1</v>
      </c>
      <c r="G291">
        <v>4.5804999999999998</v>
      </c>
      <c r="H291" s="5">
        <v>96.1905</v>
      </c>
      <c r="I291" s="1">
        <v>43544</v>
      </c>
      <c r="J291" s="1">
        <v>0.82222222222222219</v>
      </c>
      <c r="K291" s="8" t="s">
        <v>29</v>
      </c>
      <c r="L291">
        <v>91.61</v>
      </c>
      <c r="M291">
        <v>4.5804999999999998</v>
      </c>
      <c r="N291">
        <v>9.8000000000000007</v>
      </c>
    </row>
    <row r="292" spans="1:14">
      <c r="A292" t="s">
        <v>260</v>
      </c>
      <c r="B292" s="8" t="s">
        <v>27</v>
      </c>
      <c r="C292" s="8" t="s">
        <v>1037</v>
      </c>
      <c r="D292" t="s">
        <v>44</v>
      </c>
      <c r="E292">
        <v>43.25</v>
      </c>
      <c r="F292">
        <v>2</v>
      </c>
      <c r="G292">
        <v>4.3250000000000002</v>
      </c>
      <c r="H292" s="5">
        <v>90.825000000000003</v>
      </c>
      <c r="I292" s="1">
        <v>43544</v>
      </c>
      <c r="J292" s="1">
        <v>0.66388888888888886</v>
      </c>
      <c r="K292" s="8" t="s">
        <v>29</v>
      </c>
      <c r="L292">
        <v>86.5</v>
      </c>
      <c r="M292">
        <v>4.3250000000000002</v>
      </c>
      <c r="N292">
        <v>6.2</v>
      </c>
    </row>
    <row r="293" spans="1:14">
      <c r="A293" t="s">
        <v>651</v>
      </c>
      <c r="B293" s="8" t="s">
        <v>20</v>
      </c>
      <c r="C293" s="8" t="s">
        <v>1036</v>
      </c>
      <c r="D293" t="s">
        <v>36</v>
      </c>
      <c r="E293">
        <v>38.72</v>
      </c>
      <c r="F293">
        <v>9</v>
      </c>
      <c r="G293">
        <v>17.423999999999999</v>
      </c>
      <c r="H293" s="5">
        <v>365.904</v>
      </c>
      <c r="I293" s="1">
        <v>43544</v>
      </c>
      <c r="J293" s="1">
        <v>0.51666666666666672</v>
      </c>
      <c r="K293" s="8" t="s">
        <v>23</v>
      </c>
      <c r="L293">
        <v>348.48</v>
      </c>
      <c r="M293">
        <v>17.423999999999999</v>
      </c>
      <c r="N293">
        <v>4.2</v>
      </c>
    </row>
    <row r="294" spans="1:14">
      <c r="A294" t="s">
        <v>315</v>
      </c>
      <c r="B294" s="8" t="s">
        <v>20</v>
      </c>
      <c r="C294" s="8" t="s">
        <v>1037</v>
      </c>
      <c r="D294" t="s">
        <v>36</v>
      </c>
      <c r="E294">
        <v>44.02</v>
      </c>
      <c r="F294">
        <v>10</v>
      </c>
      <c r="G294">
        <v>22.01</v>
      </c>
      <c r="H294" s="5">
        <v>462.21</v>
      </c>
      <c r="I294" s="1">
        <v>43544</v>
      </c>
      <c r="J294" s="1">
        <v>0.83125000000000004</v>
      </c>
      <c r="K294" s="8" t="s">
        <v>33</v>
      </c>
      <c r="L294">
        <v>440.2</v>
      </c>
      <c r="M294">
        <v>22.01</v>
      </c>
      <c r="N294">
        <v>9.6</v>
      </c>
    </row>
    <row r="295" spans="1:14">
      <c r="A295" t="s">
        <v>775</v>
      </c>
      <c r="B295" s="8" t="s">
        <v>27</v>
      </c>
      <c r="C295" s="8" t="s">
        <v>1037</v>
      </c>
      <c r="D295" t="s">
        <v>32</v>
      </c>
      <c r="E295">
        <v>93.96</v>
      </c>
      <c r="F295">
        <v>9</v>
      </c>
      <c r="G295">
        <v>42.281999999999996</v>
      </c>
      <c r="H295" s="5">
        <v>887.92200000000003</v>
      </c>
      <c r="I295" s="1">
        <v>43544</v>
      </c>
      <c r="J295" s="1">
        <v>0.48055555555555557</v>
      </c>
      <c r="K295" s="8" t="s">
        <v>29</v>
      </c>
      <c r="L295">
        <v>845.64</v>
      </c>
      <c r="M295">
        <v>42.281999999999996</v>
      </c>
      <c r="N295">
        <v>9.8000000000000007</v>
      </c>
    </row>
    <row r="296" spans="1:14">
      <c r="A296" t="s">
        <v>914</v>
      </c>
      <c r="B296" s="8" t="s">
        <v>27</v>
      </c>
      <c r="C296" s="8" t="s">
        <v>1036</v>
      </c>
      <c r="D296" t="s">
        <v>28</v>
      </c>
      <c r="E296">
        <v>90.02</v>
      </c>
      <c r="F296">
        <v>8</v>
      </c>
      <c r="G296">
        <v>36.008000000000003</v>
      </c>
      <c r="H296" s="5">
        <v>756.16800000000001</v>
      </c>
      <c r="I296" s="1">
        <v>43545</v>
      </c>
      <c r="J296" s="1">
        <v>0.67222222222222228</v>
      </c>
      <c r="K296" s="8" t="s">
        <v>33</v>
      </c>
      <c r="L296">
        <v>720.16</v>
      </c>
      <c r="M296">
        <v>36.008000000000003</v>
      </c>
      <c r="N296">
        <v>4.5</v>
      </c>
    </row>
    <row r="297" spans="1:14">
      <c r="A297" t="s">
        <v>371</v>
      </c>
      <c r="B297" s="8" t="s">
        <v>20</v>
      </c>
      <c r="C297" s="8" t="s">
        <v>1036</v>
      </c>
      <c r="D297" t="s">
        <v>28</v>
      </c>
      <c r="E297">
        <v>28.45</v>
      </c>
      <c r="F297">
        <v>5</v>
      </c>
      <c r="G297">
        <v>7.1124999999999998</v>
      </c>
      <c r="H297" s="5">
        <v>149.36250000000001</v>
      </c>
      <c r="I297" s="1">
        <v>43545</v>
      </c>
      <c r="J297" s="1">
        <v>0.4284722222222222</v>
      </c>
      <c r="K297" s="8" t="s">
        <v>33</v>
      </c>
      <c r="L297">
        <v>142.25</v>
      </c>
      <c r="M297">
        <v>7.1124999999999998</v>
      </c>
      <c r="N297">
        <v>9.1</v>
      </c>
    </row>
    <row r="298" spans="1:14">
      <c r="A298" t="s">
        <v>344</v>
      </c>
      <c r="B298" s="8" t="s">
        <v>20</v>
      </c>
      <c r="C298" s="8" t="s">
        <v>1036</v>
      </c>
      <c r="D298" t="s">
        <v>28</v>
      </c>
      <c r="E298">
        <v>26.48</v>
      </c>
      <c r="F298">
        <v>3</v>
      </c>
      <c r="G298">
        <v>3.972</v>
      </c>
      <c r="H298" s="5">
        <v>83.412000000000006</v>
      </c>
      <c r="I298" s="1">
        <v>43545</v>
      </c>
      <c r="J298" s="1">
        <v>0.44444444444444442</v>
      </c>
      <c r="K298" s="8" t="s">
        <v>23</v>
      </c>
      <c r="L298">
        <v>79.44</v>
      </c>
      <c r="M298">
        <v>3.972</v>
      </c>
      <c r="N298">
        <v>4.7</v>
      </c>
    </row>
    <row r="299" spans="1:14">
      <c r="A299" t="s">
        <v>211</v>
      </c>
      <c r="B299" s="8" t="s">
        <v>20</v>
      </c>
      <c r="C299" s="8" t="s">
        <v>1037</v>
      </c>
      <c r="D299" t="s">
        <v>32</v>
      </c>
      <c r="E299">
        <v>33.840000000000003</v>
      </c>
      <c r="F299">
        <v>9</v>
      </c>
      <c r="G299">
        <v>15.228</v>
      </c>
      <c r="H299" s="5">
        <v>319.78800000000001</v>
      </c>
      <c r="I299" s="1">
        <v>43545</v>
      </c>
      <c r="J299" s="1">
        <v>0.68125000000000002</v>
      </c>
      <c r="K299" s="8" t="s">
        <v>23</v>
      </c>
      <c r="L299">
        <v>304.56</v>
      </c>
      <c r="M299">
        <v>15.228</v>
      </c>
      <c r="N299">
        <v>8.8000000000000007</v>
      </c>
    </row>
    <row r="300" spans="1:14">
      <c r="A300" t="s">
        <v>251</v>
      </c>
      <c r="B300" s="8" t="s">
        <v>27</v>
      </c>
      <c r="C300" s="8" t="s">
        <v>1037</v>
      </c>
      <c r="D300" t="s">
        <v>32</v>
      </c>
      <c r="E300">
        <v>18.28</v>
      </c>
      <c r="F300">
        <v>1</v>
      </c>
      <c r="G300">
        <v>0.91400000000000003</v>
      </c>
      <c r="H300" s="5">
        <v>19.193999999999999</v>
      </c>
      <c r="I300" s="1">
        <v>43546</v>
      </c>
      <c r="J300" s="1">
        <v>0.62847222222222221</v>
      </c>
      <c r="K300" s="8" t="s">
        <v>33</v>
      </c>
      <c r="L300">
        <v>18.28</v>
      </c>
      <c r="M300">
        <v>0.91400000000000003</v>
      </c>
      <c r="N300">
        <v>8.3000000000000007</v>
      </c>
    </row>
    <row r="301" spans="1:14">
      <c r="A301" t="s">
        <v>610</v>
      </c>
      <c r="B301" s="8" t="s">
        <v>27</v>
      </c>
      <c r="C301" s="8" t="s">
        <v>1037</v>
      </c>
      <c r="D301" t="s">
        <v>36</v>
      </c>
      <c r="E301">
        <v>85.91</v>
      </c>
      <c r="F301">
        <v>5</v>
      </c>
      <c r="G301">
        <v>21.477499999999999</v>
      </c>
      <c r="H301" s="5">
        <v>451.02749999999997</v>
      </c>
      <c r="I301" s="1">
        <v>43546</v>
      </c>
      <c r="J301" s="1">
        <v>0.60624999999999996</v>
      </c>
      <c r="K301" s="8" t="s">
        <v>33</v>
      </c>
      <c r="L301">
        <v>429.55</v>
      </c>
      <c r="M301">
        <v>21.477499999999999</v>
      </c>
      <c r="N301">
        <v>8.6</v>
      </c>
    </row>
    <row r="302" spans="1:14">
      <c r="A302" t="s">
        <v>1026</v>
      </c>
      <c r="B302" s="8" t="s">
        <v>27</v>
      </c>
      <c r="C302" s="8" t="s">
        <v>1036</v>
      </c>
      <c r="D302" t="s">
        <v>44</v>
      </c>
      <c r="E302">
        <v>56.56</v>
      </c>
      <c r="F302">
        <v>5</v>
      </c>
      <c r="G302">
        <v>14.14</v>
      </c>
      <c r="H302" s="5">
        <v>296.94</v>
      </c>
      <c r="I302" s="1">
        <v>43546</v>
      </c>
      <c r="J302" s="1">
        <v>0.79583333333333328</v>
      </c>
      <c r="K302" s="8" t="s">
        <v>33</v>
      </c>
      <c r="L302">
        <v>282.8</v>
      </c>
      <c r="M302">
        <v>14.14</v>
      </c>
      <c r="N302">
        <v>4.5</v>
      </c>
    </row>
    <row r="303" spans="1:14">
      <c r="A303" t="s">
        <v>450</v>
      </c>
      <c r="B303" s="8" t="s">
        <v>27</v>
      </c>
      <c r="C303" s="8" t="s">
        <v>1037</v>
      </c>
      <c r="D303" t="s">
        <v>32</v>
      </c>
      <c r="E303">
        <v>50.93</v>
      </c>
      <c r="F303">
        <v>8</v>
      </c>
      <c r="G303">
        <v>20.372</v>
      </c>
      <c r="H303" s="5">
        <v>427.81200000000001</v>
      </c>
      <c r="I303" s="1">
        <v>43546</v>
      </c>
      <c r="J303" s="1">
        <v>0.81666666666666665</v>
      </c>
      <c r="K303" s="8" t="s">
        <v>23</v>
      </c>
      <c r="L303">
        <v>407.44</v>
      </c>
      <c r="M303">
        <v>20.372</v>
      </c>
      <c r="N303">
        <v>9.1999999999999993</v>
      </c>
    </row>
    <row r="304" spans="1:14">
      <c r="A304" t="s">
        <v>849</v>
      </c>
      <c r="B304" s="8" t="s">
        <v>27</v>
      </c>
      <c r="C304" s="8" t="s">
        <v>1037</v>
      </c>
      <c r="D304" t="s">
        <v>28</v>
      </c>
      <c r="E304">
        <v>95.15</v>
      </c>
      <c r="F304">
        <v>1</v>
      </c>
      <c r="G304">
        <v>4.7575000000000003</v>
      </c>
      <c r="H304" s="5">
        <v>99.907499999999999</v>
      </c>
      <c r="I304" s="1">
        <v>43546</v>
      </c>
      <c r="J304" s="1">
        <v>0.58333333333333337</v>
      </c>
      <c r="K304" s="8" t="s">
        <v>29</v>
      </c>
      <c r="L304">
        <v>95.15</v>
      </c>
      <c r="M304">
        <v>4.7575000000000003</v>
      </c>
      <c r="N304">
        <v>6</v>
      </c>
    </row>
    <row r="305" spans="1:14">
      <c r="A305" t="s">
        <v>143</v>
      </c>
      <c r="B305" s="8" t="s">
        <v>27</v>
      </c>
      <c r="C305" s="8" t="s">
        <v>1037</v>
      </c>
      <c r="D305" t="s">
        <v>36</v>
      </c>
      <c r="E305">
        <v>62.13</v>
      </c>
      <c r="F305">
        <v>6</v>
      </c>
      <c r="G305">
        <v>18.638999999999999</v>
      </c>
      <c r="H305" s="5">
        <v>391.41899999999998</v>
      </c>
      <c r="I305" s="1">
        <v>43546</v>
      </c>
      <c r="J305" s="1">
        <v>0.84652777777777777</v>
      </c>
      <c r="K305" s="8" t="s">
        <v>29</v>
      </c>
      <c r="L305">
        <v>372.78</v>
      </c>
      <c r="M305">
        <v>18.638999999999999</v>
      </c>
      <c r="N305">
        <v>7.4</v>
      </c>
    </row>
    <row r="306" spans="1:14">
      <c r="A306" t="s">
        <v>61</v>
      </c>
      <c r="B306" s="8" t="s">
        <v>20</v>
      </c>
      <c r="C306" s="8" t="s">
        <v>1036</v>
      </c>
      <c r="D306" t="s">
        <v>32</v>
      </c>
      <c r="E306">
        <v>52.59</v>
      </c>
      <c r="F306">
        <v>8</v>
      </c>
      <c r="G306">
        <v>21.036000000000001</v>
      </c>
      <c r="H306" s="5">
        <v>441.75599999999997</v>
      </c>
      <c r="I306" s="1">
        <v>43546</v>
      </c>
      <c r="J306" s="1">
        <v>0.80555555555555558</v>
      </c>
      <c r="K306" s="8" t="s">
        <v>33</v>
      </c>
      <c r="L306">
        <v>420.72</v>
      </c>
      <c r="M306">
        <v>21.036000000000001</v>
      </c>
      <c r="N306">
        <v>8.5</v>
      </c>
    </row>
    <row r="307" spans="1:14">
      <c r="A307" t="s">
        <v>233</v>
      </c>
      <c r="B307" s="8" t="s">
        <v>27</v>
      </c>
      <c r="C307" s="8" t="s">
        <v>1036</v>
      </c>
      <c r="D307" t="s">
        <v>32</v>
      </c>
      <c r="E307">
        <v>25.29</v>
      </c>
      <c r="F307">
        <v>1</v>
      </c>
      <c r="G307">
        <v>1.2645</v>
      </c>
      <c r="H307" s="5">
        <v>26.554500000000001</v>
      </c>
      <c r="I307" s="1">
        <v>43547</v>
      </c>
      <c r="J307" s="1">
        <v>0.42569444444444443</v>
      </c>
      <c r="K307" s="8" t="s">
        <v>23</v>
      </c>
      <c r="L307">
        <v>25.29</v>
      </c>
      <c r="M307">
        <v>1.2645</v>
      </c>
      <c r="N307">
        <v>6.1</v>
      </c>
    </row>
    <row r="308" spans="1:14">
      <c r="A308" t="s">
        <v>214</v>
      </c>
      <c r="B308" s="8" t="s">
        <v>27</v>
      </c>
      <c r="C308" s="8" t="s">
        <v>1037</v>
      </c>
      <c r="D308" t="s">
        <v>44</v>
      </c>
      <c r="E308">
        <v>73.88</v>
      </c>
      <c r="F308">
        <v>6</v>
      </c>
      <c r="G308">
        <v>22.164000000000001</v>
      </c>
      <c r="H308" s="5">
        <v>465.44400000000002</v>
      </c>
      <c r="I308" s="1">
        <v>43547</v>
      </c>
      <c r="J308" s="1">
        <v>0.80277777777777781</v>
      </c>
      <c r="K308" s="8" t="s">
        <v>23</v>
      </c>
      <c r="L308">
        <v>443.28</v>
      </c>
      <c r="M308">
        <v>22.164000000000001</v>
      </c>
      <c r="N308">
        <v>4.4000000000000004</v>
      </c>
    </row>
    <row r="309" spans="1:14">
      <c r="A309" t="s">
        <v>134</v>
      </c>
      <c r="B309" s="8" t="s">
        <v>27</v>
      </c>
      <c r="C309" s="8" t="s">
        <v>1037</v>
      </c>
      <c r="D309" t="s">
        <v>44</v>
      </c>
      <c r="E309">
        <v>52.75</v>
      </c>
      <c r="F309">
        <v>3</v>
      </c>
      <c r="G309">
        <v>7.9124999999999996</v>
      </c>
      <c r="H309" s="5">
        <v>166.16249999999999</v>
      </c>
      <c r="I309" s="1">
        <v>43547</v>
      </c>
      <c r="J309" s="1">
        <v>0.42777777777777776</v>
      </c>
      <c r="K309" s="8" t="s">
        <v>23</v>
      </c>
      <c r="L309">
        <v>158.25</v>
      </c>
      <c r="M309">
        <v>7.9124999999999996</v>
      </c>
      <c r="N309">
        <v>9.3000000000000007</v>
      </c>
    </row>
    <row r="310" spans="1:14">
      <c r="A310" t="s">
        <v>923</v>
      </c>
      <c r="B310" s="8" t="s">
        <v>20</v>
      </c>
      <c r="C310" s="8" t="s">
        <v>1036</v>
      </c>
      <c r="D310" t="s">
        <v>28</v>
      </c>
      <c r="E310">
        <v>73.47</v>
      </c>
      <c r="F310">
        <v>10</v>
      </c>
      <c r="G310">
        <v>36.734999999999999</v>
      </c>
      <c r="H310" s="5">
        <v>771.43499999999995</v>
      </c>
      <c r="I310" s="1">
        <v>43547</v>
      </c>
      <c r="J310" s="1">
        <v>0.55138888888888893</v>
      </c>
      <c r="K310" s="8" t="s">
        <v>23</v>
      </c>
      <c r="L310">
        <v>734.7</v>
      </c>
      <c r="M310">
        <v>36.734999999999999</v>
      </c>
      <c r="N310">
        <v>9.5</v>
      </c>
    </row>
    <row r="311" spans="1:14">
      <c r="A311" t="s">
        <v>218</v>
      </c>
      <c r="B311" s="8" t="s">
        <v>20</v>
      </c>
      <c r="C311" s="8" t="s">
        <v>1037</v>
      </c>
      <c r="D311" t="s">
        <v>36</v>
      </c>
      <c r="E311">
        <v>15.5</v>
      </c>
      <c r="F311">
        <v>10</v>
      </c>
      <c r="G311">
        <v>7.75</v>
      </c>
      <c r="H311" s="5">
        <v>162.75</v>
      </c>
      <c r="I311" s="1">
        <v>43547</v>
      </c>
      <c r="J311" s="1">
        <v>0.4548611111111111</v>
      </c>
      <c r="K311" s="8" t="s">
        <v>23</v>
      </c>
      <c r="L311">
        <v>155</v>
      </c>
      <c r="M311">
        <v>7.75</v>
      </c>
      <c r="N311">
        <v>8</v>
      </c>
    </row>
    <row r="312" spans="1:14">
      <c r="A312" t="s">
        <v>523</v>
      </c>
      <c r="B312" s="8" t="s">
        <v>27</v>
      </c>
      <c r="C312" s="8" t="s">
        <v>1037</v>
      </c>
      <c r="D312" t="s">
        <v>46</v>
      </c>
      <c r="E312">
        <v>37.15</v>
      </c>
      <c r="F312">
        <v>4</v>
      </c>
      <c r="G312">
        <v>7.43</v>
      </c>
      <c r="H312" s="5">
        <v>156.03</v>
      </c>
      <c r="I312" s="1">
        <v>43547</v>
      </c>
      <c r="J312" s="1">
        <v>0.79097222222222219</v>
      </c>
      <c r="K312" s="8" t="s">
        <v>23</v>
      </c>
      <c r="L312">
        <v>148.6</v>
      </c>
      <c r="M312">
        <v>7.43</v>
      </c>
      <c r="N312">
        <v>8.3000000000000007</v>
      </c>
    </row>
    <row r="313" spans="1:14">
      <c r="A313" t="s">
        <v>635</v>
      </c>
      <c r="B313" s="8" t="s">
        <v>20</v>
      </c>
      <c r="C313" s="8" t="s">
        <v>1036</v>
      </c>
      <c r="D313" t="s">
        <v>32</v>
      </c>
      <c r="E313">
        <v>70.319999999999993</v>
      </c>
      <c r="F313">
        <v>2</v>
      </c>
      <c r="G313">
        <v>7.032</v>
      </c>
      <c r="H313" s="5">
        <v>147.672</v>
      </c>
      <c r="I313" s="1">
        <v>43548</v>
      </c>
      <c r="J313" s="1">
        <v>0.59861111111111109</v>
      </c>
      <c r="K313" s="8" t="s">
        <v>23</v>
      </c>
      <c r="L313">
        <v>140.63999999999999</v>
      </c>
      <c r="M313">
        <v>7.032</v>
      </c>
      <c r="N313">
        <v>9.6</v>
      </c>
    </row>
    <row r="314" spans="1:14">
      <c r="A314" t="s">
        <v>403</v>
      </c>
      <c r="B314" s="8" t="s">
        <v>20</v>
      </c>
      <c r="C314" s="8" t="s">
        <v>1037</v>
      </c>
      <c r="D314" t="s">
        <v>32</v>
      </c>
      <c r="E314">
        <v>65.94</v>
      </c>
      <c r="F314">
        <v>4</v>
      </c>
      <c r="G314">
        <v>13.188000000000001</v>
      </c>
      <c r="H314" s="5">
        <v>276.94799999999998</v>
      </c>
      <c r="I314" s="1">
        <v>43548</v>
      </c>
      <c r="J314" s="1">
        <v>0.43680555555555556</v>
      </c>
      <c r="K314" s="8" t="s">
        <v>29</v>
      </c>
      <c r="L314">
        <v>263.76</v>
      </c>
      <c r="M314">
        <v>13.188000000000001</v>
      </c>
      <c r="N314">
        <v>6</v>
      </c>
    </row>
    <row r="315" spans="1:14">
      <c r="A315" t="s">
        <v>365</v>
      </c>
      <c r="B315" s="8" t="s">
        <v>20</v>
      </c>
      <c r="C315" s="8" t="s">
        <v>1037</v>
      </c>
      <c r="D315" t="s">
        <v>28</v>
      </c>
      <c r="E315">
        <v>36.36</v>
      </c>
      <c r="F315">
        <v>4</v>
      </c>
      <c r="G315">
        <v>7.2720000000000002</v>
      </c>
      <c r="H315" s="5">
        <v>152.71199999999999</v>
      </c>
      <c r="I315" s="1">
        <v>43549</v>
      </c>
      <c r="J315" s="1">
        <v>0.54652777777777772</v>
      </c>
      <c r="K315" s="8" t="s">
        <v>29</v>
      </c>
      <c r="L315">
        <v>145.44</v>
      </c>
      <c r="M315">
        <v>7.2720000000000002</v>
      </c>
      <c r="N315">
        <v>7.6</v>
      </c>
    </row>
    <row r="316" spans="1:14">
      <c r="A316" t="s">
        <v>1004</v>
      </c>
      <c r="B316" s="8" t="s">
        <v>27</v>
      </c>
      <c r="C316" s="8" t="s">
        <v>1036</v>
      </c>
      <c r="D316" t="s">
        <v>22</v>
      </c>
      <c r="E316">
        <v>15.8</v>
      </c>
      <c r="F316">
        <v>3</v>
      </c>
      <c r="G316">
        <v>2.37</v>
      </c>
      <c r="H316" s="5">
        <v>49.77</v>
      </c>
      <c r="I316" s="1">
        <v>43549</v>
      </c>
      <c r="J316" s="1">
        <v>0.75138888888888888</v>
      </c>
      <c r="K316" s="8" t="s">
        <v>29</v>
      </c>
      <c r="L316">
        <v>47.4</v>
      </c>
      <c r="M316">
        <v>2.37</v>
      </c>
      <c r="N316">
        <v>9.5</v>
      </c>
    </row>
    <row r="317" spans="1:14">
      <c r="A317" t="s">
        <v>590</v>
      </c>
      <c r="B317" s="8" t="s">
        <v>20</v>
      </c>
      <c r="C317" s="8" t="s">
        <v>1037</v>
      </c>
      <c r="D317" t="s">
        <v>28</v>
      </c>
      <c r="E317">
        <v>19.32</v>
      </c>
      <c r="F317">
        <v>7</v>
      </c>
      <c r="G317">
        <v>6.7619999999999996</v>
      </c>
      <c r="H317" s="5">
        <v>142.00200000000001</v>
      </c>
      <c r="I317" s="1">
        <v>43549</v>
      </c>
      <c r="J317" s="1">
        <v>0.78541666666666665</v>
      </c>
      <c r="K317" s="8" t="s">
        <v>29</v>
      </c>
      <c r="L317">
        <v>135.24</v>
      </c>
      <c r="M317">
        <v>6.7619999999999996</v>
      </c>
      <c r="N317">
        <v>6.9</v>
      </c>
    </row>
    <row r="318" spans="1:14">
      <c r="A318" t="s">
        <v>795</v>
      </c>
      <c r="B318" s="8" t="s">
        <v>27</v>
      </c>
      <c r="C318" s="8" t="s">
        <v>1036</v>
      </c>
      <c r="D318" t="s">
        <v>44</v>
      </c>
      <c r="E318">
        <v>55.39</v>
      </c>
      <c r="F318">
        <v>4</v>
      </c>
      <c r="G318">
        <v>11.077999999999999</v>
      </c>
      <c r="H318" s="5">
        <v>232.63800000000001</v>
      </c>
      <c r="I318" s="1">
        <v>43549</v>
      </c>
      <c r="J318" s="1">
        <v>0.6381944444444444</v>
      </c>
      <c r="K318" s="8" t="s">
        <v>23</v>
      </c>
      <c r="L318">
        <v>221.56</v>
      </c>
      <c r="M318">
        <v>11.077999999999999</v>
      </c>
      <c r="N318">
        <v>8</v>
      </c>
    </row>
    <row r="319" spans="1:14">
      <c r="A319" t="s">
        <v>341</v>
      </c>
      <c r="B319" s="8" t="s">
        <v>20</v>
      </c>
      <c r="C319" s="8" t="s">
        <v>1037</v>
      </c>
      <c r="D319" t="s">
        <v>28</v>
      </c>
      <c r="E319">
        <v>72.2</v>
      </c>
      <c r="F319">
        <v>7</v>
      </c>
      <c r="G319">
        <v>25.27</v>
      </c>
      <c r="H319" s="5">
        <v>530.66999999999996</v>
      </c>
      <c r="I319" s="1">
        <v>43550</v>
      </c>
      <c r="J319" s="1">
        <v>0.84305555555555556</v>
      </c>
      <c r="K319" s="8" t="s">
        <v>23</v>
      </c>
      <c r="L319">
        <v>505.4</v>
      </c>
      <c r="M319">
        <v>25.27</v>
      </c>
      <c r="N319">
        <v>4.3</v>
      </c>
    </row>
    <row r="320" spans="1:14">
      <c r="A320" t="s">
        <v>799</v>
      </c>
      <c r="B320" s="8" t="s">
        <v>20</v>
      </c>
      <c r="C320" s="8" t="s">
        <v>1036</v>
      </c>
      <c r="D320" t="s">
        <v>22</v>
      </c>
      <c r="E320">
        <v>10.69</v>
      </c>
      <c r="F320">
        <v>5</v>
      </c>
      <c r="G320">
        <v>2.6724999999999999</v>
      </c>
      <c r="H320" s="5">
        <v>56.122500000000002</v>
      </c>
      <c r="I320" s="1">
        <v>43550</v>
      </c>
      <c r="J320" s="1">
        <v>0.46319444444444446</v>
      </c>
      <c r="K320" s="8" t="s">
        <v>23</v>
      </c>
      <c r="L320">
        <v>53.45</v>
      </c>
      <c r="M320">
        <v>2.6724999999999999</v>
      </c>
      <c r="N320">
        <v>7.6</v>
      </c>
    </row>
    <row r="321" spans="1:14">
      <c r="A321" t="s">
        <v>863</v>
      </c>
      <c r="B321" s="8" t="s">
        <v>20</v>
      </c>
      <c r="C321" s="8" t="s">
        <v>1037</v>
      </c>
      <c r="D321" t="s">
        <v>46</v>
      </c>
      <c r="E321">
        <v>41.28</v>
      </c>
      <c r="F321">
        <v>3</v>
      </c>
      <c r="G321">
        <v>6.1920000000000002</v>
      </c>
      <c r="H321" s="5">
        <v>130.03200000000001</v>
      </c>
      <c r="I321" s="1">
        <v>43550</v>
      </c>
      <c r="J321" s="1">
        <v>0.77569444444444446</v>
      </c>
      <c r="K321" s="8" t="s">
        <v>33</v>
      </c>
      <c r="L321">
        <v>123.84</v>
      </c>
      <c r="M321">
        <v>6.1920000000000002</v>
      </c>
      <c r="N321">
        <v>8.5</v>
      </c>
    </row>
    <row r="322" spans="1:14">
      <c r="A322" t="s">
        <v>871</v>
      </c>
      <c r="B322" s="8" t="s">
        <v>27</v>
      </c>
      <c r="C322" s="8" t="s">
        <v>1037</v>
      </c>
      <c r="D322" t="s">
        <v>46</v>
      </c>
      <c r="E322">
        <v>52.38</v>
      </c>
      <c r="F322">
        <v>1</v>
      </c>
      <c r="G322">
        <v>2.6190000000000002</v>
      </c>
      <c r="H322" s="5">
        <v>54.999000000000002</v>
      </c>
      <c r="I322" s="1">
        <v>43550</v>
      </c>
      <c r="J322" s="1">
        <v>0.82222222222222219</v>
      </c>
      <c r="K322" s="8" t="s">
        <v>29</v>
      </c>
      <c r="L322">
        <v>52.38</v>
      </c>
      <c r="M322">
        <v>2.6190000000000002</v>
      </c>
      <c r="N322">
        <v>5.8</v>
      </c>
    </row>
    <row r="323" spans="1:14">
      <c r="A323" t="s">
        <v>938</v>
      </c>
      <c r="B323" s="8" t="s">
        <v>20</v>
      </c>
      <c r="C323" s="8" t="s">
        <v>1036</v>
      </c>
      <c r="D323" t="s">
        <v>22</v>
      </c>
      <c r="E323">
        <v>27.73</v>
      </c>
      <c r="F323">
        <v>5</v>
      </c>
      <c r="G323">
        <v>6.9325000000000001</v>
      </c>
      <c r="H323" s="5">
        <v>145.58250000000001</v>
      </c>
      <c r="I323" s="1">
        <v>43550</v>
      </c>
      <c r="J323" s="1">
        <v>0.84791666666666665</v>
      </c>
      <c r="K323" s="8" t="s">
        <v>33</v>
      </c>
      <c r="L323">
        <v>138.65</v>
      </c>
      <c r="M323">
        <v>6.9325000000000001</v>
      </c>
      <c r="N323">
        <v>4.2</v>
      </c>
    </row>
    <row r="324" spans="1:14">
      <c r="A324" t="s">
        <v>614</v>
      </c>
      <c r="B324" s="8" t="s">
        <v>27</v>
      </c>
      <c r="C324" s="8" t="s">
        <v>1036</v>
      </c>
      <c r="D324" t="s">
        <v>22</v>
      </c>
      <c r="E324">
        <v>64.27</v>
      </c>
      <c r="F324">
        <v>4</v>
      </c>
      <c r="G324">
        <v>12.853999999999999</v>
      </c>
      <c r="H324" s="5">
        <v>269.93400000000003</v>
      </c>
      <c r="I324" s="1">
        <v>43550</v>
      </c>
      <c r="J324" s="1">
        <v>0.57916666666666672</v>
      </c>
      <c r="K324" s="8" t="s">
        <v>29</v>
      </c>
      <c r="L324">
        <v>257.08</v>
      </c>
      <c r="M324">
        <v>12.853999999999999</v>
      </c>
      <c r="N324">
        <v>7.7</v>
      </c>
    </row>
    <row r="325" spans="1:14">
      <c r="A325" t="s">
        <v>622</v>
      </c>
      <c r="B325" s="8" t="s">
        <v>27</v>
      </c>
      <c r="C325" s="8" t="s">
        <v>1036</v>
      </c>
      <c r="D325" t="s">
        <v>44</v>
      </c>
      <c r="E325">
        <v>52.34</v>
      </c>
      <c r="F325">
        <v>3</v>
      </c>
      <c r="G325">
        <v>7.851</v>
      </c>
      <c r="H325" s="5">
        <v>164.87100000000001</v>
      </c>
      <c r="I325" s="1">
        <v>43551</v>
      </c>
      <c r="J325" s="1">
        <v>0.5854166666666667</v>
      </c>
      <c r="K325" s="8" t="s">
        <v>29</v>
      </c>
      <c r="L325">
        <v>157.02000000000001</v>
      </c>
      <c r="M325">
        <v>7.851</v>
      </c>
      <c r="N325">
        <v>9.1999999999999993</v>
      </c>
    </row>
    <row r="326" spans="1:14">
      <c r="A326" t="s">
        <v>92</v>
      </c>
      <c r="B326" s="8" t="s">
        <v>20</v>
      </c>
      <c r="C326" s="8" t="s">
        <v>1037</v>
      </c>
      <c r="D326" t="s">
        <v>32</v>
      </c>
      <c r="E326">
        <v>44.34</v>
      </c>
      <c r="F326">
        <v>2</v>
      </c>
      <c r="G326">
        <v>4.4340000000000002</v>
      </c>
      <c r="H326" s="5">
        <v>93.114000000000004</v>
      </c>
      <c r="I326" s="1">
        <v>43551</v>
      </c>
      <c r="J326" s="1">
        <v>0.47638888888888886</v>
      </c>
      <c r="K326" s="8" t="s">
        <v>29</v>
      </c>
      <c r="L326">
        <v>88.68</v>
      </c>
      <c r="M326">
        <v>4.4340000000000002</v>
      </c>
      <c r="N326">
        <v>5.8</v>
      </c>
    </row>
    <row r="327" spans="1:14">
      <c r="A327" t="s">
        <v>944</v>
      </c>
      <c r="B327" s="8" t="s">
        <v>20</v>
      </c>
      <c r="C327" s="8" t="s">
        <v>1036</v>
      </c>
      <c r="D327" t="s">
        <v>44</v>
      </c>
      <c r="E327">
        <v>79.540000000000006</v>
      </c>
      <c r="F327">
        <v>2</v>
      </c>
      <c r="G327">
        <v>7.9539999999999997</v>
      </c>
      <c r="H327" s="5">
        <v>167.03399999999999</v>
      </c>
      <c r="I327" s="1">
        <v>43551</v>
      </c>
      <c r="J327" s="1">
        <v>0.6875</v>
      </c>
      <c r="K327" s="8" t="s">
        <v>23</v>
      </c>
      <c r="L327">
        <v>159.08000000000001</v>
      </c>
      <c r="M327">
        <v>7.9539999999999997</v>
      </c>
      <c r="N327">
        <v>6.2</v>
      </c>
    </row>
    <row r="328" spans="1:14">
      <c r="A328" t="s">
        <v>185</v>
      </c>
      <c r="B328" s="8" t="s">
        <v>27</v>
      </c>
      <c r="C328" s="8" t="s">
        <v>1037</v>
      </c>
      <c r="D328" t="s">
        <v>22</v>
      </c>
      <c r="E328">
        <v>32.46</v>
      </c>
      <c r="F328">
        <v>8</v>
      </c>
      <c r="G328">
        <v>12.984</v>
      </c>
      <c r="H328" s="5">
        <v>272.66399999999999</v>
      </c>
      <c r="I328" s="1">
        <v>43551</v>
      </c>
      <c r="J328" s="1">
        <v>0.57499999999999996</v>
      </c>
      <c r="K328" s="8" t="s">
        <v>33</v>
      </c>
      <c r="L328">
        <v>259.68</v>
      </c>
      <c r="M328">
        <v>12.984</v>
      </c>
      <c r="N328">
        <v>4.9000000000000004</v>
      </c>
    </row>
    <row r="329" spans="1:14">
      <c r="A329" t="s">
        <v>123</v>
      </c>
      <c r="B329" s="8" t="s">
        <v>20</v>
      </c>
      <c r="C329" s="8" t="s">
        <v>1037</v>
      </c>
      <c r="D329" t="s">
        <v>44</v>
      </c>
      <c r="E329">
        <v>49.38</v>
      </c>
      <c r="F329">
        <v>7</v>
      </c>
      <c r="G329">
        <v>17.283000000000001</v>
      </c>
      <c r="H329" s="5">
        <v>362.94299999999998</v>
      </c>
      <c r="I329" s="1">
        <v>43551</v>
      </c>
      <c r="J329" s="1">
        <v>0.85763888888888884</v>
      </c>
      <c r="K329" s="8" t="s">
        <v>33</v>
      </c>
      <c r="L329">
        <v>345.66</v>
      </c>
      <c r="M329">
        <v>17.283000000000001</v>
      </c>
      <c r="N329">
        <v>7.3</v>
      </c>
    </row>
    <row r="330" spans="1:14">
      <c r="A330" t="s">
        <v>752</v>
      </c>
      <c r="B330" s="8" t="s">
        <v>20</v>
      </c>
      <c r="C330" s="8" t="s">
        <v>1036</v>
      </c>
      <c r="D330" t="s">
        <v>46</v>
      </c>
      <c r="E330">
        <v>71.459999999999994</v>
      </c>
      <c r="F330">
        <v>7</v>
      </c>
      <c r="G330">
        <v>25.010999999999999</v>
      </c>
      <c r="H330" s="5">
        <v>525.23099999999999</v>
      </c>
      <c r="I330" s="1">
        <v>43552</v>
      </c>
      <c r="J330" s="1">
        <v>0.67083333333333328</v>
      </c>
      <c r="K330" s="8" t="s">
        <v>23</v>
      </c>
      <c r="L330">
        <v>500.22</v>
      </c>
      <c r="M330">
        <v>25.010999999999999</v>
      </c>
      <c r="N330">
        <v>4.5</v>
      </c>
    </row>
    <row r="331" spans="1:14">
      <c r="A331" t="s">
        <v>139</v>
      </c>
      <c r="B331" s="8" t="s">
        <v>27</v>
      </c>
      <c r="C331" s="8" t="s">
        <v>1037</v>
      </c>
      <c r="D331" t="s">
        <v>44</v>
      </c>
      <c r="E331">
        <v>58.26</v>
      </c>
      <c r="F331">
        <v>6</v>
      </c>
      <c r="G331">
        <v>17.478000000000002</v>
      </c>
      <c r="H331" s="5">
        <v>367.03800000000001</v>
      </c>
      <c r="I331" s="1">
        <v>43552</v>
      </c>
      <c r="J331" s="1">
        <v>0.69722222222222219</v>
      </c>
      <c r="K331" s="8" t="s">
        <v>29</v>
      </c>
      <c r="L331">
        <v>349.56</v>
      </c>
      <c r="M331">
        <v>17.478000000000002</v>
      </c>
      <c r="N331">
        <v>9.9</v>
      </c>
    </row>
    <row r="332" spans="1:14">
      <c r="A332" t="s">
        <v>656</v>
      </c>
      <c r="B332" s="8" t="s">
        <v>27</v>
      </c>
      <c r="C332" s="8" t="s">
        <v>1036</v>
      </c>
      <c r="D332" t="s">
        <v>44</v>
      </c>
      <c r="E332">
        <v>71.680000000000007</v>
      </c>
      <c r="F332">
        <v>3</v>
      </c>
      <c r="G332">
        <v>10.752000000000001</v>
      </c>
      <c r="H332" s="5">
        <v>225.792</v>
      </c>
      <c r="I332" s="1">
        <v>43552</v>
      </c>
      <c r="J332" s="1">
        <v>0.64583333333333337</v>
      </c>
      <c r="K332" s="8" t="s">
        <v>33</v>
      </c>
      <c r="L332">
        <v>215.04</v>
      </c>
      <c r="M332">
        <v>10.752000000000001</v>
      </c>
      <c r="N332">
        <v>9.1999999999999993</v>
      </c>
    </row>
    <row r="333" spans="1:14">
      <c r="A333" t="s">
        <v>500</v>
      </c>
      <c r="B333" s="8" t="s">
        <v>20</v>
      </c>
      <c r="C333" s="8" t="s">
        <v>1037</v>
      </c>
      <c r="D333" t="s">
        <v>44</v>
      </c>
      <c r="E333">
        <v>51.34</v>
      </c>
      <c r="F333">
        <v>5</v>
      </c>
      <c r="G333">
        <v>12.835000000000001</v>
      </c>
      <c r="H333" s="5">
        <v>269.53500000000003</v>
      </c>
      <c r="I333" s="1">
        <v>43552</v>
      </c>
      <c r="J333" s="1">
        <v>0.64652777777777781</v>
      </c>
      <c r="K333" s="8" t="s">
        <v>33</v>
      </c>
      <c r="L333">
        <v>256.7</v>
      </c>
      <c r="M333">
        <v>12.835000000000001</v>
      </c>
      <c r="N333">
        <v>9.1</v>
      </c>
    </row>
    <row r="334" spans="1:14">
      <c r="A334" t="s">
        <v>980</v>
      </c>
      <c r="B334" s="8" t="s">
        <v>20</v>
      </c>
      <c r="C334" s="8" t="s">
        <v>1037</v>
      </c>
      <c r="D334" t="s">
        <v>22</v>
      </c>
      <c r="E334">
        <v>10.08</v>
      </c>
      <c r="F334">
        <v>7</v>
      </c>
      <c r="G334">
        <v>3.528</v>
      </c>
      <c r="H334" s="5">
        <v>74.087999999999994</v>
      </c>
      <c r="I334" s="1">
        <v>43552</v>
      </c>
      <c r="J334" s="1">
        <v>0.84305555555555556</v>
      </c>
      <c r="K334" s="8" t="s">
        <v>29</v>
      </c>
      <c r="L334">
        <v>70.56</v>
      </c>
      <c r="M334">
        <v>3.528</v>
      </c>
      <c r="N334">
        <v>4.2</v>
      </c>
    </row>
    <row r="335" spans="1:14">
      <c r="A335" t="s">
        <v>384</v>
      </c>
      <c r="B335" s="8" t="s">
        <v>27</v>
      </c>
      <c r="C335" s="8" t="s">
        <v>1037</v>
      </c>
      <c r="D335" t="s">
        <v>28</v>
      </c>
      <c r="E335">
        <v>26.02</v>
      </c>
      <c r="F335">
        <v>7</v>
      </c>
      <c r="G335">
        <v>9.1069999999999993</v>
      </c>
      <c r="H335" s="5">
        <v>191.24700000000001</v>
      </c>
      <c r="I335" s="1">
        <v>43552</v>
      </c>
      <c r="J335" s="1">
        <v>0.73472222222222228</v>
      </c>
      <c r="K335" s="8" t="s">
        <v>29</v>
      </c>
      <c r="L335">
        <v>182.14</v>
      </c>
      <c r="M335">
        <v>9.1069999999999993</v>
      </c>
      <c r="N335">
        <v>5.0999999999999996</v>
      </c>
    </row>
    <row r="336" spans="1:14">
      <c r="A336" t="s">
        <v>595</v>
      </c>
      <c r="B336" s="8" t="s">
        <v>20</v>
      </c>
      <c r="C336" s="8" t="s">
        <v>1036</v>
      </c>
      <c r="D336" t="s">
        <v>32</v>
      </c>
      <c r="E336">
        <v>72.42</v>
      </c>
      <c r="F336">
        <v>3</v>
      </c>
      <c r="G336">
        <v>10.863</v>
      </c>
      <c r="H336" s="5">
        <v>228.12299999999999</v>
      </c>
      <c r="I336" s="1">
        <v>43553</v>
      </c>
      <c r="J336" s="1">
        <v>0.70416666666666672</v>
      </c>
      <c r="K336" s="8" t="s">
        <v>23</v>
      </c>
      <c r="L336">
        <v>217.26</v>
      </c>
      <c r="M336">
        <v>10.863</v>
      </c>
      <c r="N336">
        <v>8.1999999999999993</v>
      </c>
    </row>
    <row r="337" spans="1:14">
      <c r="A337" t="s">
        <v>50</v>
      </c>
      <c r="B337" s="8" t="s">
        <v>27</v>
      </c>
      <c r="C337" s="8" t="s">
        <v>1036</v>
      </c>
      <c r="D337" t="s">
        <v>22</v>
      </c>
      <c r="E337">
        <v>71.38</v>
      </c>
      <c r="F337">
        <v>10</v>
      </c>
      <c r="G337">
        <v>35.69</v>
      </c>
      <c r="H337" s="5">
        <v>749.49</v>
      </c>
      <c r="I337" s="1">
        <v>43553</v>
      </c>
      <c r="J337" s="1">
        <v>0.80625000000000002</v>
      </c>
      <c r="K337" s="8" t="s">
        <v>29</v>
      </c>
      <c r="L337">
        <v>713.8</v>
      </c>
      <c r="M337">
        <v>35.69</v>
      </c>
      <c r="N337">
        <v>5.7</v>
      </c>
    </row>
    <row r="338" spans="1:14">
      <c r="A338" t="s">
        <v>342</v>
      </c>
      <c r="B338" s="8" t="s">
        <v>27</v>
      </c>
      <c r="C338" s="8" t="s">
        <v>1036</v>
      </c>
      <c r="D338" t="s">
        <v>36</v>
      </c>
      <c r="E338">
        <v>40.229999999999997</v>
      </c>
      <c r="F338">
        <v>7</v>
      </c>
      <c r="G338">
        <v>14.080500000000001</v>
      </c>
      <c r="H338" s="5">
        <v>295.69049999999999</v>
      </c>
      <c r="I338" s="1">
        <v>43554</v>
      </c>
      <c r="J338" s="1">
        <v>0.55694444444444446</v>
      </c>
      <c r="K338" s="8" t="s">
        <v>29</v>
      </c>
      <c r="L338">
        <v>281.61</v>
      </c>
      <c r="M338">
        <v>14.080500000000001</v>
      </c>
      <c r="N338">
        <v>9.6</v>
      </c>
    </row>
    <row r="339" spans="1:14">
      <c r="A339" t="s">
        <v>919</v>
      </c>
      <c r="B339" s="8" t="s">
        <v>20</v>
      </c>
      <c r="C339" s="8" t="s">
        <v>1036</v>
      </c>
      <c r="D339" t="s">
        <v>32</v>
      </c>
      <c r="E339">
        <v>34.42</v>
      </c>
      <c r="F339">
        <v>6</v>
      </c>
      <c r="G339">
        <v>10.326000000000001</v>
      </c>
      <c r="H339" s="5">
        <v>216.846</v>
      </c>
      <c r="I339" s="1">
        <v>43554</v>
      </c>
      <c r="J339" s="1">
        <v>0.53125</v>
      </c>
      <c r="K339" s="8" t="s">
        <v>23</v>
      </c>
      <c r="L339">
        <v>206.52</v>
      </c>
      <c r="M339">
        <v>10.326000000000001</v>
      </c>
      <c r="N339">
        <v>7.5</v>
      </c>
    </row>
    <row r="340" spans="1:14">
      <c r="A340" t="s">
        <v>973</v>
      </c>
      <c r="B340" s="8" t="s">
        <v>27</v>
      </c>
      <c r="C340" s="8" t="s">
        <v>1036</v>
      </c>
      <c r="D340" t="s">
        <v>36</v>
      </c>
      <c r="E340">
        <v>89.48</v>
      </c>
      <c r="F340">
        <v>5</v>
      </c>
      <c r="G340">
        <v>22.37</v>
      </c>
      <c r="H340" s="5">
        <v>469.77</v>
      </c>
      <c r="I340" s="1">
        <v>43554</v>
      </c>
      <c r="J340" s="1">
        <v>0.42916666666666664</v>
      </c>
      <c r="K340" s="8" t="s">
        <v>29</v>
      </c>
      <c r="L340">
        <v>447.4</v>
      </c>
      <c r="M340">
        <v>22.37</v>
      </c>
      <c r="N340">
        <v>7.4</v>
      </c>
    </row>
    <row r="341" spans="1:14">
      <c r="A341" t="s">
        <v>510</v>
      </c>
      <c r="B341" s="8" t="s">
        <v>20</v>
      </c>
      <c r="C341" s="8" t="s">
        <v>1036</v>
      </c>
      <c r="D341" t="s">
        <v>28</v>
      </c>
      <c r="E341">
        <v>64.44</v>
      </c>
      <c r="F341">
        <v>5</v>
      </c>
      <c r="G341">
        <v>16.11</v>
      </c>
      <c r="H341" s="5">
        <v>338.31</v>
      </c>
      <c r="I341" s="1">
        <v>43554</v>
      </c>
      <c r="J341" s="1">
        <v>0.71111111111111114</v>
      </c>
      <c r="K341" s="8" t="s">
        <v>29</v>
      </c>
      <c r="L341">
        <v>322.2</v>
      </c>
      <c r="M341">
        <v>16.11</v>
      </c>
      <c r="N341">
        <v>6.6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DB09-4A66-4FB4-9DBA-8118ED1A74F0}">
  <sheetPr codeName="Sheet4"/>
  <dimension ref="A2:Q15"/>
  <sheetViews>
    <sheetView topLeftCell="A5" workbookViewId="0">
      <selection activeCell="L13" sqref="L13"/>
    </sheetView>
  </sheetViews>
  <sheetFormatPr defaultRowHeight="15"/>
  <cols>
    <col min="1" max="1" width="20.85546875" customWidth="1"/>
    <col min="3" max="3" width="14.7109375" customWidth="1"/>
    <col min="12" max="12" width="19" customWidth="1"/>
  </cols>
  <sheetData>
    <row r="2" spans="1:17">
      <c r="A2" s="3"/>
    </row>
    <row r="6" spans="1:17">
      <c r="A6" t="s">
        <v>1038</v>
      </c>
    </row>
    <row r="7" spans="1:17">
      <c r="A7" s="2">
        <f>AVERAGE(BranchA_Yangon_City[Rating])</f>
        <v>7.0270588235294111</v>
      </c>
    </row>
    <row r="10" spans="1:17">
      <c r="Q10" t="s">
        <v>1047</v>
      </c>
    </row>
    <row r="11" spans="1:17" ht="16.5">
      <c r="E11" s="6"/>
      <c r="N11" s="5"/>
      <c r="Q11">
        <f>COUNTIFS(
  BranchA!$C:$C, IF(Inputgender="All","*",Inputgender),
  BranchA!$B:$B, IF(InputCustomertyp="All","*",InputCustomertyp),
  BranchA!$K:$K, IF(InputPayementMethod="All","*",InputPayementMethod)
)</f>
        <v>62</v>
      </c>
    </row>
    <row r="12" spans="1:17" ht="16.5">
      <c r="L12" t="s">
        <v>1053</v>
      </c>
      <c r="M12" s="7"/>
    </row>
    <row r="13" spans="1:17">
      <c r="L13" s="10">
        <f>SUMIFS(BranchA!H:H,
  BranchA!$C:$C, IF(Inputgender="All","*",Inputgender),
  BranchA!$B:$B, IF(InputCustomertyp="All","*",InputCustomertyp),
  BranchA!$K:$K, IF(InputPayementMethod="All","*",InputPayementMethod)
)</f>
        <v>20753.554499999998</v>
      </c>
      <c r="O13" t="s">
        <v>1048</v>
      </c>
    </row>
    <row r="14" spans="1:17">
      <c r="A14" t="s">
        <v>1056</v>
      </c>
      <c r="C14" t="s">
        <v>1038</v>
      </c>
      <c r="J14" s="9"/>
      <c r="O14">
        <f>SUMIFS(BranchA!F:F,
  BranchA!$C:$C, IF(Inputgender="All","*",Inputgender),
  BranchA!$B:$B, IF(InputCustomertyp="All","*",InputCustomertyp),
  BranchA!$K:$K, IF(InputPayementMethod="All","*",InputPayementMethod)
)</f>
        <v>374</v>
      </c>
    </row>
    <row r="15" spans="1:17">
      <c r="A15">
        <f>SUMIFS(
  BranchA!M:M,
  BranchA!$C:$C, IF(Inputgender="All","*",Inputgender),
  BranchA!$B:$B, IF(InputCustomertyp="All","*",InputCustomertyp),
  BranchA!$K:$K, IF(InputPayementMethod="All","*",InputPayementMethod)
)</f>
        <v>988.2645</v>
      </c>
      <c r="C15">
        <f>AVERAGEIFS(
  BranchA!N:N,
  BranchA!$C:$C, IF(Inputgender="All","*",Inputgender),
  BranchA!$B:$B, IF(InputCustomertyp="All","*",InputCustomertyp),
  BranchA!$K:$K, IF(InputPayementMethod="All","*",InputPayementMethod)
)</f>
        <v>7.1177419354838722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500-9222-45E0-B756-15463B7DBAFF}">
  <sheetPr codeName="Sheet5"/>
  <dimension ref="A1:N333"/>
  <sheetViews>
    <sheetView workbookViewId="0">
      <selection activeCell="H7" sqref="H7"/>
    </sheetView>
  </sheetViews>
  <sheetFormatPr defaultRowHeight="15"/>
  <cols>
    <col min="1" max="1" width="12" bestFit="1" customWidth="1"/>
    <col min="2" max="2" width="16.42578125" bestFit="1" customWidth="1"/>
    <col min="3" max="3" width="10" bestFit="1" customWidth="1"/>
    <col min="4" max="4" width="20.42578125" bestFit="1" customWidth="1"/>
    <col min="5" max="5" width="12" bestFit="1" customWidth="1"/>
    <col min="6" max="6" width="11" bestFit="1" customWidth="1"/>
    <col min="7" max="7" width="9.28515625" bestFit="1" customWidth="1"/>
    <col min="8" max="8" width="9" bestFit="1" customWidth="1"/>
    <col min="9" max="10" width="13.85546875" bestFit="1" customWidth="1"/>
    <col min="11" max="11" width="11.140625" bestFit="1" customWidth="1"/>
    <col min="12" max="12" width="7.140625" bestFit="1" customWidth="1"/>
    <col min="13" max="13" width="14.85546875" bestFit="1" customWidth="1"/>
    <col min="14" max="15" width="8.85546875" bestFit="1" customWidth="1"/>
  </cols>
  <sheetData>
    <row r="1" spans="1:14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15</v>
      </c>
      <c r="N1" t="s">
        <v>16</v>
      </c>
    </row>
    <row r="2" spans="1:14">
      <c r="A2" t="s">
        <v>486</v>
      </c>
      <c r="B2" t="s">
        <v>27</v>
      </c>
      <c r="C2" t="s">
        <v>1036</v>
      </c>
      <c r="D2" t="s">
        <v>28</v>
      </c>
      <c r="E2">
        <v>74.709999999999994</v>
      </c>
      <c r="F2">
        <v>6</v>
      </c>
      <c r="G2">
        <v>22.413</v>
      </c>
      <c r="H2">
        <v>470.673</v>
      </c>
      <c r="I2" s="1">
        <v>43466</v>
      </c>
      <c r="J2" s="1">
        <v>0.79652777777777772</v>
      </c>
      <c r="K2" t="s">
        <v>29</v>
      </c>
      <c r="L2">
        <v>448.26</v>
      </c>
      <c r="M2">
        <v>22.413</v>
      </c>
      <c r="N2">
        <v>6.7</v>
      </c>
    </row>
    <row r="3" spans="1:14">
      <c r="A3" t="s">
        <v>1006</v>
      </c>
      <c r="B3" t="s">
        <v>20</v>
      </c>
      <c r="C3" t="s">
        <v>1036</v>
      </c>
      <c r="D3" t="s">
        <v>44</v>
      </c>
      <c r="E3">
        <v>84.63</v>
      </c>
      <c r="F3">
        <v>10</v>
      </c>
      <c r="G3">
        <v>42.314999999999998</v>
      </c>
      <c r="H3">
        <v>888.61500000000001</v>
      </c>
      <c r="I3" s="1">
        <v>43466</v>
      </c>
      <c r="J3" s="1">
        <v>0.48333333333333334</v>
      </c>
      <c r="K3" t="s">
        <v>33</v>
      </c>
      <c r="L3">
        <v>846.3</v>
      </c>
      <c r="M3">
        <v>42.314999999999998</v>
      </c>
      <c r="N3">
        <v>9</v>
      </c>
    </row>
    <row r="4" spans="1:14">
      <c r="A4" t="s">
        <v>892</v>
      </c>
      <c r="B4" t="s">
        <v>27</v>
      </c>
      <c r="C4" t="s">
        <v>1037</v>
      </c>
      <c r="D4" t="s">
        <v>44</v>
      </c>
      <c r="E4">
        <v>21.12</v>
      </c>
      <c r="F4">
        <v>8</v>
      </c>
      <c r="G4">
        <v>8.4480000000000004</v>
      </c>
      <c r="H4">
        <v>177.40799999999999</v>
      </c>
      <c r="I4" s="1">
        <v>43466</v>
      </c>
      <c r="J4" s="1">
        <v>0.81319444444444444</v>
      </c>
      <c r="K4" t="s">
        <v>29</v>
      </c>
      <c r="L4">
        <v>168.96</v>
      </c>
      <c r="M4">
        <v>8.4480000000000004</v>
      </c>
      <c r="N4">
        <v>6.3</v>
      </c>
    </row>
    <row r="5" spans="1:14">
      <c r="A5" t="s">
        <v>461</v>
      </c>
      <c r="B5" t="s">
        <v>20</v>
      </c>
      <c r="C5" t="s">
        <v>1037</v>
      </c>
      <c r="D5" t="s">
        <v>46</v>
      </c>
      <c r="E5">
        <v>40.61</v>
      </c>
      <c r="F5">
        <v>9</v>
      </c>
      <c r="G5">
        <v>18.2745</v>
      </c>
      <c r="H5">
        <v>383.7645</v>
      </c>
      <c r="I5" s="1">
        <v>43467</v>
      </c>
      <c r="J5" s="1">
        <v>0.56944444444444442</v>
      </c>
      <c r="K5" t="s">
        <v>29</v>
      </c>
      <c r="L5">
        <v>365.49</v>
      </c>
      <c r="M5">
        <v>18.2745</v>
      </c>
      <c r="N5">
        <v>7</v>
      </c>
    </row>
    <row r="6" spans="1:14">
      <c r="A6" t="s">
        <v>873</v>
      </c>
      <c r="B6" t="s">
        <v>27</v>
      </c>
      <c r="C6" t="s">
        <v>1037</v>
      </c>
      <c r="D6" t="s">
        <v>36</v>
      </c>
      <c r="E6">
        <v>44.63</v>
      </c>
      <c r="F6">
        <v>6</v>
      </c>
      <c r="G6">
        <v>13.388999999999999</v>
      </c>
      <c r="H6">
        <v>281.16899999999998</v>
      </c>
      <c r="I6" s="1">
        <v>43467</v>
      </c>
      <c r="J6" s="1">
        <v>0.83888888888888891</v>
      </c>
      <c r="K6" t="s">
        <v>33</v>
      </c>
      <c r="L6">
        <v>267.77999999999997</v>
      </c>
      <c r="M6">
        <v>13.388999999999999</v>
      </c>
      <c r="N6">
        <v>5.0999999999999996</v>
      </c>
    </row>
    <row r="7" spans="1:14">
      <c r="A7" t="s">
        <v>446</v>
      </c>
      <c r="B7" t="s">
        <v>27</v>
      </c>
      <c r="C7" t="s">
        <v>1036</v>
      </c>
      <c r="D7" t="s">
        <v>22</v>
      </c>
      <c r="E7">
        <v>34.21</v>
      </c>
      <c r="F7">
        <v>10</v>
      </c>
      <c r="G7">
        <v>17.105</v>
      </c>
      <c r="H7">
        <v>359.20499999999998</v>
      </c>
      <c r="I7" s="1">
        <v>43467</v>
      </c>
      <c r="J7" s="1">
        <v>0.54166666666666663</v>
      </c>
      <c r="K7" t="s">
        <v>29</v>
      </c>
      <c r="L7">
        <v>342.1</v>
      </c>
      <c r="M7">
        <v>17.105</v>
      </c>
      <c r="N7">
        <v>5.0999999999999996</v>
      </c>
    </row>
    <row r="8" spans="1:14">
      <c r="A8" t="s">
        <v>487</v>
      </c>
      <c r="B8" t="s">
        <v>27</v>
      </c>
      <c r="C8" t="s">
        <v>1037</v>
      </c>
      <c r="D8" t="s">
        <v>28</v>
      </c>
      <c r="E8">
        <v>22.01</v>
      </c>
      <c r="F8">
        <v>6</v>
      </c>
      <c r="G8">
        <v>6.6029999999999998</v>
      </c>
      <c r="H8">
        <v>138.66300000000001</v>
      </c>
      <c r="I8" s="1">
        <v>43467</v>
      </c>
      <c r="J8" s="1">
        <v>0.78472222222222221</v>
      </c>
      <c r="K8" t="s">
        <v>29</v>
      </c>
      <c r="L8">
        <v>132.06</v>
      </c>
      <c r="M8">
        <v>6.6029999999999998</v>
      </c>
      <c r="N8">
        <v>7.6</v>
      </c>
    </row>
    <row r="9" spans="1:14">
      <c r="A9" t="s">
        <v>813</v>
      </c>
      <c r="B9" t="s">
        <v>27</v>
      </c>
      <c r="C9" t="s">
        <v>1037</v>
      </c>
      <c r="D9" t="s">
        <v>36</v>
      </c>
      <c r="E9">
        <v>93.38</v>
      </c>
      <c r="F9">
        <v>1</v>
      </c>
      <c r="G9">
        <v>4.6689999999999996</v>
      </c>
      <c r="H9">
        <v>98.049000000000007</v>
      </c>
      <c r="I9" s="1">
        <v>43468</v>
      </c>
      <c r="J9" s="1">
        <v>0.54652777777777772</v>
      </c>
      <c r="K9" t="s">
        <v>29</v>
      </c>
      <c r="L9">
        <v>93.38</v>
      </c>
      <c r="M9">
        <v>4.6689999999999996</v>
      </c>
      <c r="N9">
        <v>9.6</v>
      </c>
    </row>
    <row r="10" spans="1:14">
      <c r="A10" t="s">
        <v>1023</v>
      </c>
      <c r="B10" t="s">
        <v>20</v>
      </c>
      <c r="C10" t="s">
        <v>1037</v>
      </c>
      <c r="D10" t="s">
        <v>22</v>
      </c>
      <c r="E10">
        <v>62</v>
      </c>
      <c r="F10">
        <v>8</v>
      </c>
      <c r="G10">
        <v>24.8</v>
      </c>
      <c r="H10">
        <v>520.79999999999995</v>
      </c>
      <c r="I10" s="1">
        <v>43468</v>
      </c>
      <c r="J10" s="1">
        <v>0.79722222222222228</v>
      </c>
      <c r="K10" t="s">
        <v>33</v>
      </c>
      <c r="L10">
        <v>496</v>
      </c>
      <c r="M10">
        <v>24.8</v>
      </c>
      <c r="N10">
        <v>6.2</v>
      </c>
    </row>
    <row r="11" spans="1:14">
      <c r="A11" t="s">
        <v>970</v>
      </c>
      <c r="B11" t="s">
        <v>27</v>
      </c>
      <c r="C11" t="s">
        <v>1036</v>
      </c>
      <c r="D11" t="s">
        <v>32</v>
      </c>
      <c r="E11">
        <v>63.15</v>
      </c>
      <c r="F11">
        <v>6</v>
      </c>
      <c r="G11">
        <v>18.945</v>
      </c>
      <c r="H11">
        <v>397.84500000000003</v>
      </c>
      <c r="I11" s="1">
        <v>43468</v>
      </c>
      <c r="J11" s="1">
        <v>0.85</v>
      </c>
      <c r="K11" t="s">
        <v>23</v>
      </c>
      <c r="L11">
        <v>378.9</v>
      </c>
      <c r="M11">
        <v>18.945</v>
      </c>
      <c r="N11">
        <v>9.8000000000000007</v>
      </c>
    </row>
    <row r="12" spans="1:14">
      <c r="A12" t="s">
        <v>443</v>
      </c>
      <c r="B12" t="s">
        <v>20</v>
      </c>
      <c r="C12" t="s">
        <v>1036</v>
      </c>
      <c r="D12" t="s">
        <v>46</v>
      </c>
      <c r="E12">
        <v>68.709999999999994</v>
      </c>
      <c r="F12">
        <v>4</v>
      </c>
      <c r="G12">
        <v>13.742000000000001</v>
      </c>
      <c r="H12">
        <v>288.58199999999999</v>
      </c>
      <c r="I12" s="1">
        <v>43469</v>
      </c>
      <c r="J12" s="1">
        <v>0.79236111111111107</v>
      </c>
      <c r="K12" t="s">
        <v>29</v>
      </c>
      <c r="L12">
        <v>274.83999999999997</v>
      </c>
      <c r="M12">
        <v>13.742000000000001</v>
      </c>
      <c r="N12">
        <v>4.0999999999999996</v>
      </c>
    </row>
    <row r="13" spans="1:14">
      <c r="A13" t="s">
        <v>249</v>
      </c>
      <c r="B13" t="s">
        <v>27</v>
      </c>
      <c r="C13" t="s">
        <v>1037</v>
      </c>
      <c r="D13" t="s">
        <v>36</v>
      </c>
      <c r="E13">
        <v>46.42</v>
      </c>
      <c r="F13">
        <v>3</v>
      </c>
      <c r="G13">
        <v>6.9630000000000001</v>
      </c>
      <c r="H13">
        <v>146.22300000000001</v>
      </c>
      <c r="I13" s="1">
        <v>43469</v>
      </c>
      <c r="J13" s="1">
        <v>0.55833333333333335</v>
      </c>
      <c r="K13" t="s">
        <v>33</v>
      </c>
      <c r="L13">
        <v>139.26</v>
      </c>
      <c r="M13">
        <v>6.9630000000000001</v>
      </c>
      <c r="N13">
        <v>4.4000000000000004</v>
      </c>
    </row>
    <row r="14" spans="1:14">
      <c r="A14" t="s">
        <v>192</v>
      </c>
      <c r="B14" t="s">
        <v>20</v>
      </c>
      <c r="C14" t="s">
        <v>1037</v>
      </c>
      <c r="D14" t="s">
        <v>28</v>
      </c>
      <c r="E14">
        <v>72.17</v>
      </c>
      <c r="F14">
        <v>1</v>
      </c>
      <c r="G14">
        <v>3.6084999999999998</v>
      </c>
      <c r="H14">
        <v>75.778499999999994</v>
      </c>
      <c r="I14" s="1">
        <v>43469</v>
      </c>
      <c r="J14" s="1">
        <v>0.81944444444444442</v>
      </c>
      <c r="K14" t="s">
        <v>29</v>
      </c>
      <c r="L14">
        <v>72.17</v>
      </c>
      <c r="M14">
        <v>3.6084999999999998</v>
      </c>
      <c r="N14">
        <v>6.1</v>
      </c>
    </row>
    <row r="15" spans="1:14">
      <c r="A15" t="s">
        <v>572</v>
      </c>
      <c r="B15" t="s">
        <v>20</v>
      </c>
      <c r="C15" t="s">
        <v>1036</v>
      </c>
      <c r="D15" t="s">
        <v>46</v>
      </c>
      <c r="E15">
        <v>73.959999999999994</v>
      </c>
      <c r="F15">
        <v>1</v>
      </c>
      <c r="G15">
        <v>3.698</v>
      </c>
      <c r="H15">
        <v>77.658000000000001</v>
      </c>
      <c r="I15" s="1">
        <v>43470</v>
      </c>
      <c r="J15" s="1">
        <v>0.48055555555555557</v>
      </c>
      <c r="K15" t="s">
        <v>33</v>
      </c>
      <c r="L15">
        <v>73.959999999999994</v>
      </c>
      <c r="M15">
        <v>3.698</v>
      </c>
      <c r="N15">
        <v>5</v>
      </c>
    </row>
    <row r="16" spans="1:14">
      <c r="A16" t="s">
        <v>580</v>
      </c>
      <c r="B16" t="s">
        <v>27</v>
      </c>
      <c r="C16" t="s">
        <v>1036</v>
      </c>
      <c r="D16" t="s">
        <v>44</v>
      </c>
      <c r="E16">
        <v>71.2</v>
      </c>
      <c r="F16">
        <v>1</v>
      </c>
      <c r="G16">
        <v>3.56</v>
      </c>
      <c r="H16">
        <v>74.760000000000005</v>
      </c>
      <c r="I16" s="1">
        <v>43470</v>
      </c>
      <c r="J16" s="1">
        <v>0.86111111111111116</v>
      </c>
      <c r="K16" t="s">
        <v>33</v>
      </c>
      <c r="L16">
        <v>71.2</v>
      </c>
      <c r="M16">
        <v>3.56</v>
      </c>
      <c r="N16">
        <v>9.1999999999999993</v>
      </c>
    </row>
    <row r="17" spans="1:14">
      <c r="A17" t="s">
        <v>412</v>
      </c>
      <c r="B17" t="s">
        <v>20</v>
      </c>
      <c r="C17" t="s">
        <v>1036</v>
      </c>
      <c r="D17" t="s">
        <v>32</v>
      </c>
      <c r="E17">
        <v>35.380000000000003</v>
      </c>
      <c r="F17">
        <v>9</v>
      </c>
      <c r="G17">
        <v>15.920999999999999</v>
      </c>
      <c r="H17">
        <v>334.34100000000001</v>
      </c>
      <c r="I17" s="1">
        <v>43470</v>
      </c>
      <c r="J17" s="1">
        <v>0.82638888888888884</v>
      </c>
      <c r="K17" t="s">
        <v>33</v>
      </c>
      <c r="L17">
        <v>318.42</v>
      </c>
      <c r="M17">
        <v>15.920999999999999</v>
      </c>
      <c r="N17">
        <v>9.6</v>
      </c>
    </row>
    <row r="18" spans="1:14">
      <c r="A18" t="s">
        <v>733</v>
      </c>
      <c r="B18" t="s">
        <v>27</v>
      </c>
      <c r="C18" t="s">
        <v>1037</v>
      </c>
      <c r="D18" t="s">
        <v>32</v>
      </c>
      <c r="E18">
        <v>62.19</v>
      </c>
      <c r="F18">
        <v>4</v>
      </c>
      <c r="G18">
        <v>12.438000000000001</v>
      </c>
      <c r="H18">
        <v>261.19799999999998</v>
      </c>
      <c r="I18" s="1">
        <v>43471</v>
      </c>
      <c r="J18" s="1">
        <v>0.82361111111111107</v>
      </c>
      <c r="K18" t="s">
        <v>23</v>
      </c>
      <c r="L18">
        <v>248.76</v>
      </c>
      <c r="M18">
        <v>12.438000000000001</v>
      </c>
      <c r="N18">
        <v>4.3</v>
      </c>
    </row>
    <row r="19" spans="1:14">
      <c r="A19" t="s">
        <v>739</v>
      </c>
      <c r="B19" t="s">
        <v>20</v>
      </c>
      <c r="C19" t="s">
        <v>1037</v>
      </c>
      <c r="D19" t="s">
        <v>22</v>
      </c>
      <c r="E19">
        <v>80.47</v>
      </c>
      <c r="F19">
        <v>9</v>
      </c>
      <c r="G19">
        <v>36.211500000000001</v>
      </c>
      <c r="H19">
        <v>760.44150000000002</v>
      </c>
      <c r="I19" s="1">
        <v>43471</v>
      </c>
      <c r="J19" s="1">
        <v>0.47083333333333333</v>
      </c>
      <c r="K19" t="s">
        <v>29</v>
      </c>
      <c r="L19">
        <v>724.23</v>
      </c>
      <c r="M19">
        <v>36.211500000000001</v>
      </c>
      <c r="N19">
        <v>9.1999999999999993</v>
      </c>
    </row>
    <row r="20" spans="1:14">
      <c r="A20" t="s">
        <v>391</v>
      </c>
      <c r="B20" t="s">
        <v>20</v>
      </c>
      <c r="C20" t="s">
        <v>1036</v>
      </c>
      <c r="D20" t="s">
        <v>44</v>
      </c>
      <c r="E20">
        <v>89.14</v>
      </c>
      <c r="F20">
        <v>4</v>
      </c>
      <c r="G20">
        <v>17.827999999999999</v>
      </c>
      <c r="H20">
        <v>374.38799999999998</v>
      </c>
      <c r="I20" s="1">
        <v>43472</v>
      </c>
      <c r="J20" s="1">
        <v>0.51388888888888884</v>
      </c>
      <c r="K20" t="s">
        <v>33</v>
      </c>
      <c r="L20">
        <v>356.56</v>
      </c>
      <c r="M20">
        <v>17.827999999999999</v>
      </c>
      <c r="N20">
        <v>7.8</v>
      </c>
    </row>
    <row r="21" spans="1:14">
      <c r="A21" t="s">
        <v>103</v>
      </c>
      <c r="B21" t="s">
        <v>20</v>
      </c>
      <c r="C21" t="s">
        <v>1036</v>
      </c>
      <c r="D21" t="s">
        <v>46</v>
      </c>
      <c r="E21">
        <v>97.61</v>
      </c>
      <c r="F21">
        <v>6</v>
      </c>
      <c r="G21">
        <v>29.283000000000001</v>
      </c>
      <c r="H21">
        <v>614.94299999999998</v>
      </c>
      <c r="I21" s="1">
        <v>43472</v>
      </c>
      <c r="J21" s="1">
        <v>0.62569444444444444</v>
      </c>
      <c r="K21" t="s">
        <v>23</v>
      </c>
      <c r="L21">
        <v>585.66</v>
      </c>
      <c r="M21">
        <v>29.283000000000001</v>
      </c>
      <c r="N21">
        <v>9.9</v>
      </c>
    </row>
    <row r="22" spans="1:14">
      <c r="A22" t="s">
        <v>311</v>
      </c>
      <c r="B22" t="s">
        <v>27</v>
      </c>
      <c r="C22" t="s">
        <v>1037</v>
      </c>
      <c r="D22" t="s">
        <v>46</v>
      </c>
      <c r="E22">
        <v>47.97</v>
      </c>
      <c r="F22">
        <v>7</v>
      </c>
      <c r="G22">
        <v>16.7895</v>
      </c>
      <c r="H22">
        <v>352.5795</v>
      </c>
      <c r="I22" s="1">
        <v>43472</v>
      </c>
      <c r="J22" s="1">
        <v>0.86944444444444446</v>
      </c>
      <c r="K22" t="s">
        <v>29</v>
      </c>
      <c r="L22">
        <v>335.79</v>
      </c>
      <c r="M22">
        <v>16.7895</v>
      </c>
      <c r="N22">
        <v>6.2</v>
      </c>
    </row>
    <row r="23" spans="1:14">
      <c r="A23" t="s">
        <v>782</v>
      </c>
      <c r="B23" t="s">
        <v>20</v>
      </c>
      <c r="C23" t="s">
        <v>1037</v>
      </c>
      <c r="D23" t="s">
        <v>46</v>
      </c>
      <c r="E23">
        <v>65.23</v>
      </c>
      <c r="F23">
        <v>10</v>
      </c>
      <c r="G23">
        <v>32.615000000000002</v>
      </c>
      <c r="H23">
        <v>684.91499999999996</v>
      </c>
      <c r="I23" s="1">
        <v>43473</v>
      </c>
      <c r="J23" s="1">
        <v>0.79652777777777772</v>
      </c>
      <c r="K23" t="s">
        <v>33</v>
      </c>
      <c r="L23">
        <v>652.29999999999995</v>
      </c>
      <c r="M23">
        <v>32.615000000000002</v>
      </c>
      <c r="N23">
        <v>5.2</v>
      </c>
    </row>
    <row r="24" spans="1:14">
      <c r="A24" t="s">
        <v>722</v>
      </c>
      <c r="B24" t="s">
        <v>20</v>
      </c>
      <c r="C24" t="s">
        <v>1036</v>
      </c>
      <c r="D24" t="s">
        <v>36</v>
      </c>
      <c r="E24">
        <v>64.83</v>
      </c>
      <c r="F24">
        <v>2</v>
      </c>
      <c r="G24">
        <v>6.4829999999999997</v>
      </c>
      <c r="H24">
        <v>136.143</v>
      </c>
      <c r="I24" s="1">
        <v>43473</v>
      </c>
      <c r="J24" s="1">
        <v>0.49930555555555556</v>
      </c>
      <c r="K24" t="s">
        <v>33</v>
      </c>
      <c r="L24">
        <v>129.66</v>
      </c>
      <c r="M24">
        <v>6.4829999999999997</v>
      </c>
      <c r="N24">
        <v>8</v>
      </c>
    </row>
    <row r="25" spans="1:14">
      <c r="A25" t="s">
        <v>721</v>
      </c>
      <c r="B25" t="s">
        <v>20</v>
      </c>
      <c r="C25" t="s">
        <v>1036</v>
      </c>
      <c r="D25" t="s">
        <v>32</v>
      </c>
      <c r="E25">
        <v>49.1</v>
      </c>
      <c r="F25">
        <v>2</v>
      </c>
      <c r="G25">
        <v>4.91</v>
      </c>
      <c r="H25">
        <v>103.11</v>
      </c>
      <c r="I25" s="1">
        <v>43473</v>
      </c>
      <c r="J25" s="1">
        <v>0.54027777777777775</v>
      </c>
      <c r="K25" t="s">
        <v>33</v>
      </c>
      <c r="L25">
        <v>98.2</v>
      </c>
      <c r="M25">
        <v>4.91</v>
      </c>
      <c r="N25">
        <v>6.4</v>
      </c>
    </row>
    <row r="26" spans="1:14">
      <c r="A26" t="s">
        <v>303</v>
      </c>
      <c r="B26" t="s">
        <v>20</v>
      </c>
      <c r="C26" t="s">
        <v>1036</v>
      </c>
      <c r="D26" t="s">
        <v>44</v>
      </c>
      <c r="E26">
        <v>74.599999999999994</v>
      </c>
      <c r="F26">
        <v>10</v>
      </c>
      <c r="G26">
        <v>37.299999999999997</v>
      </c>
      <c r="H26">
        <v>783.3</v>
      </c>
      <c r="I26" s="1">
        <v>43473</v>
      </c>
      <c r="J26" s="1">
        <v>0.87152777777777779</v>
      </c>
      <c r="K26" t="s">
        <v>29</v>
      </c>
      <c r="L26">
        <v>746</v>
      </c>
      <c r="M26">
        <v>37.299999999999997</v>
      </c>
      <c r="N26">
        <v>9.5</v>
      </c>
    </row>
    <row r="27" spans="1:14">
      <c r="A27" t="s">
        <v>916</v>
      </c>
      <c r="B27" t="s">
        <v>20</v>
      </c>
      <c r="C27" t="s">
        <v>1036</v>
      </c>
      <c r="D27" t="s">
        <v>44</v>
      </c>
      <c r="E27">
        <v>33.21</v>
      </c>
      <c r="F27">
        <v>10</v>
      </c>
      <c r="G27">
        <v>16.605</v>
      </c>
      <c r="H27">
        <v>348.70499999999998</v>
      </c>
      <c r="I27" s="1">
        <v>43473</v>
      </c>
      <c r="J27" s="1">
        <v>0.60069444444444442</v>
      </c>
      <c r="K27" t="s">
        <v>23</v>
      </c>
      <c r="L27">
        <v>332.1</v>
      </c>
      <c r="M27">
        <v>16.605</v>
      </c>
      <c r="N27">
        <v>6</v>
      </c>
    </row>
    <row r="28" spans="1:14">
      <c r="A28" t="s">
        <v>542</v>
      </c>
      <c r="B28" t="s">
        <v>20</v>
      </c>
      <c r="C28" t="s">
        <v>1036</v>
      </c>
      <c r="D28" t="s">
        <v>36</v>
      </c>
      <c r="E28">
        <v>48.5</v>
      </c>
      <c r="F28">
        <v>3</v>
      </c>
      <c r="G28">
        <v>7.2750000000000004</v>
      </c>
      <c r="H28">
        <v>152.77500000000001</v>
      </c>
      <c r="I28" s="1">
        <v>43473</v>
      </c>
      <c r="J28" s="1">
        <v>0.53472222222222221</v>
      </c>
      <c r="K28" t="s">
        <v>29</v>
      </c>
      <c r="L28">
        <v>145.5</v>
      </c>
      <c r="M28">
        <v>7.2750000000000004</v>
      </c>
      <c r="N28">
        <v>6.7</v>
      </c>
    </row>
    <row r="29" spans="1:14">
      <c r="A29" t="s">
        <v>987</v>
      </c>
      <c r="B29" t="s">
        <v>20</v>
      </c>
      <c r="C29" t="s">
        <v>1036</v>
      </c>
      <c r="D29" t="s">
        <v>32</v>
      </c>
      <c r="E29">
        <v>21.9</v>
      </c>
      <c r="F29">
        <v>3</v>
      </c>
      <c r="G29">
        <v>3.2850000000000001</v>
      </c>
      <c r="H29">
        <v>68.984999999999999</v>
      </c>
      <c r="I29" s="1">
        <v>43474</v>
      </c>
      <c r="J29" s="1">
        <v>0.77986111111111112</v>
      </c>
      <c r="K29" t="s">
        <v>23</v>
      </c>
      <c r="L29">
        <v>65.7</v>
      </c>
      <c r="M29">
        <v>3.2850000000000001</v>
      </c>
      <c r="N29">
        <v>4.7</v>
      </c>
    </row>
    <row r="30" spans="1:14">
      <c r="A30" t="s">
        <v>868</v>
      </c>
      <c r="B30" t="s">
        <v>20</v>
      </c>
      <c r="C30" t="s">
        <v>1036</v>
      </c>
      <c r="D30" t="s">
        <v>36</v>
      </c>
      <c r="E30">
        <v>11.85</v>
      </c>
      <c r="F30">
        <v>8</v>
      </c>
      <c r="G30">
        <v>4.74</v>
      </c>
      <c r="H30">
        <v>99.54</v>
      </c>
      <c r="I30" s="1">
        <v>43474</v>
      </c>
      <c r="J30" s="1">
        <v>0.69027777777777777</v>
      </c>
      <c r="K30" t="s">
        <v>29</v>
      </c>
      <c r="L30">
        <v>94.8</v>
      </c>
      <c r="M30">
        <v>4.74</v>
      </c>
      <c r="N30">
        <v>4.0999999999999996</v>
      </c>
    </row>
    <row r="31" spans="1:14">
      <c r="A31" t="s">
        <v>604</v>
      </c>
      <c r="B31" t="s">
        <v>27</v>
      </c>
      <c r="C31" t="s">
        <v>1036</v>
      </c>
      <c r="D31" t="s">
        <v>46</v>
      </c>
      <c r="E31">
        <v>79.86</v>
      </c>
      <c r="F31">
        <v>7</v>
      </c>
      <c r="G31">
        <v>27.951000000000001</v>
      </c>
      <c r="H31">
        <v>586.971</v>
      </c>
      <c r="I31" s="1">
        <v>43475</v>
      </c>
      <c r="J31" s="1">
        <v>0.43958333333333333</v>
      </c>
      <c r="K31" t="s">
        <v>33</v>
      </c>
      <c r="L31">
        <v>559.02</v>
      </c>
      <c r="M31">
        <v>27.951000000000001</v>
      </c>
      <c r="N31">
        <v>5.5</v>
      </c>
    </row>
    <row r="32" spans="1:14">
      <c r="A32" t="s">
        <v>961</v>
      </c>
      <c r="B32" t="s">
        <v>27</v>
      </c>
      <c r="C32" t="s">
        <v>1036</v>
      </c>
      <c r="D32" t="s">
        <v>28</v>
      </c>
      <c r="E32">
        <v>13.78</v>
      </c>
      <c r="F32">
        <v>4</v>
      </c>
      <c r="G32">
        <v>2.7559999999999998</v>
      </c>
      <c r="H32">
        <v>57.875999999999998</v>
      </c>
      <c r="I32" s="1">
        <v>43475</v>
      </c>
      <c r="J32" s="1">
        <v>0.46527777777777779</v>
      </c>
      <c r="K32" t="s">
        <v>23</v>
      </c>
      <c r="L32">
        <v>55.12</v>
      </c>
      <c r="M32">
        <v>2.7559999999999998</v>
      </c>
      <c r="N32">
        <v>9</v>
      </c>
    </row>
    <row r="33" spans="1:14">
      <c r="A33" t="s">
        <v>68</v>
      </c>
      <c r="B33" t="s">
        <v>27</v>
      </c>
      <c r="C33" t="s">
        <v>1037</v>
      </c>
      <c r="D33" t="s">
        <v>36</v>
      </c>
      <c r="E33">
        <v>83.78</v>
      </c>
      <c r="F33">
        <v>8</v>
      </c>
      <c r="G33">
        <v>33.512</v>
      </c>
      <c r="H33">
        <v>703.75199999999995</v>
      </c>
      <c r="I33" s="1">
        <v>43475</v>
      </c>
      <c r="J33" s="1">
        <v>0.61736111111111114</v>
      </c>
      <c r="K33" t="s">
        <v>29</v>
      </c>
      <c r="L33">
        <v>670.24</v>
      </c>
      <c r="M33">
        <v>33.512</v>
      </c>
      <c r="N33">
        <v>5.0999999999999996</v>
      </c>
    </row>
    <row r="34" spans="1:14">
      <c r="A34" t="s">
        <v>454</v>
      </c>
      <c r="B34" t="s">
        <v>27</v>
      </c>
      <c r="C34" t="s">
        <v>1036</v>
      </c>
      <c r="D34" t="s">
        <v>22</v>
      </c>
      <c r="E34">
        <v>57.22</v>
      </c>
      <c r="F34">
        <v>2</v>
      </c>
      <c r="G34">
        <v>5.7220000000000004</v>
      </c>
      <c r="H34">
        <v>120.16200000000001</v>
      </c>
      <c r="I34" s="1">
        <v>43477</v>
      </c>
      <c r="J34" s="1">
        <v>0.71736111111111112</v>
      </c>
      <c r="K34" t="s">
        <v>23</v>
      </c>
      <c r="L34">
        <v>114.44</v>
      </c>
      <c r="M34">
        <v>5.7220000000000004</v>
      </c>
      <c r="N34">
        <v>8.3000000000000007</v>
      </c>
    </row>
    <row r="35" spans="1:14">
      <c r="A35" t="s">
        <v>836</v>
      </c>
      <c r="B35" t="s">
        <v>27</v>
      </c>
      <c r="C35" t="s">
        <v>1037</v>
      </c>
      <c r="D35" t="s">
        <v>36</v>
      </c>
      <c r="E35">
        <v>23.01</v>
      </c>
      <c r="F35">
        <v>6</v>
      </c>
      <c r="G35">
        <v>6.9029999999999996</v>
      </c>
      <c r="H35">
        <v>144.96299999999999</v>
      </c>
      <c r="I35" s="1">
        <v>43477</v>
      </c>
      <c r="J35" s="1">
        <v>0.69791666666666663</v>
      </c>
      <c r="K35" t="s">
        <v>23</v>
      </c>
      <c r="L35">
        <v>138.06</v>
      </c>
      <c r="M35">
        <v>6.9029999999999996</v>
      </c>
      <c r="N35">
        <v>7.9</v>
      </c>
    </row>
    <row r="36" spans="1:14">
      <c r="A36" t="s">
        <v>659</v>
      </c>
      <c r="B36" t="s">
        <v>27</v>
      </c>
      <c r="C36" t="s">
        <v>1036</v>
      </c>
      <c r="D36" t="s">
        <v>46</v>
      </c>
      <c r="E36">
        <v>83.25</v>
      </c>
      <c r="F36">
        <v>10</v>
      </c>
      <c r="G36">
        <v>41.625</v>
      </c>
      <c r="H36">
        <v>874.125</v>
      </c>
      <c r="I36" s="1">
        <v>43477</v>
      </c>
      <c r="J36" s="1">
        <v>0.47569444444444442</v>
      </c>
      <c r="K36" t="s">
        <v>33</v>
      </c>
      <c r="L36">
        <v>832.5</v>
      </c>
      <c r="M36">
        <v>41.625</v>
      </c>
      <c r="N36">
        <v>4.4000000000000004</v>
      </c>
    </row>
    <row r="37" spans="1:14">
      <c r="A37" t="s">
        <v>774</v>
      </c>
      <c r="B37" t="s">
        <v>20</v>
      </c>
      <c r="C37" t="s">
        <v>1037</v>
      </c>
      <c r="D37" t="s">
        <v>28</v>
      </c>
      <c r="E37">
        <v>91.56</v>
      </c>
      <c r="F37">
        <v>8</v>
      </c>
      <c r="G37">
        <v>36.624000000000002</v>
      </c>
      <c r="H37">
        <v>769.10400000000004</v>
      </c>
      <c r="I37" s="1">
        <v>43477</v>
      </c>
      <c r="J37" s="1">
        <v>0.76527777777777772</v>
      </c>
      <c r="K37" t="s">
        <v>23</v>
      </c>
      <c r="L37">
        <v>732.48</v>
      </c>
      <c r="M37">
        <v>36.624000000000002</v>
      </c>
      <c r="N37">
        <v>6</v>
      </c>
    </row>
    <row r="38" spans="1:14">
      <c r="A38" t="s">
        <v>484</v>
      </c>
      <c r="B38" t="s">
        <v>20</v>
      </c>
      <c r="C38" t="s">
        <v>1036</v>
      </c>
      <c r="D38" t="s">
        <v>22</v>
      </c>
      <c r="E38">
        <v>27.07</v>
      </c>
      <c r="F38">
        <v>1</v>
      </c>
      <c r="G38">
        <v>1.3534999999999999</v>
      </c>
      <c r="H38">
        <v>28.423500000000001</v>
      </c>
      <c r="I38" s="1">
        <v>43477</v>
      </c>
      <c r="J38" s="1">
        <v>0.83819444444444446</v>
      </c>
      <c r="K38" t="s">
        <v>33</v>
      </c>
      <c r="L38">
        <v>27.07</v>
      </c>
      <c r="M38">
        <v>1.3534999999999999</v>
      </c>
      <c r="N38">
        <v>5.3</v>
      </c>
    </row>
    <row r="39" spans="1:14">
      <c r="A39" t="s">
        <v>899</v>
      </c>
      <c r="B39" t="s">
        <v>27</v>
      </c>
      <c r="C39" t="s">
        <v>1036</v>
      </c>
      <c r="D39" t="s">
        <v>32</v>
      </c>
      <c r="E39">
        <v>51.07</v>
      </c>
      <c r="F39">
        <v>7</v>
      </c>
      <c r="G39">
        <v>17.874500000000001</v>
      </c>
      <c r="H39">
        <v>375.36450000000002</v>
      </c>
      <c r="I39" s="1">
        <v>43477</v>
      </c>
      <c r="J39" s="1">
        <v>0.48749999999999999</v>
      </c>
      <c r="K39" t="s">
        <v>29</v>
      </c>
      <c r="L39">
        <v>357.49</v>
      </c>
      <c r="M39">
        <v>17.874500000000001</v>
      </c>
      <c r="N39">
        <v>7</v>
      </c>
    </row>
    <row r="40" spans="1:14">
      <c r="A40" t="s">
        <v>652</v>
      </c>
      <c r="B40" t="s">
        <v>20</v>
      </c>
      <c r="C40" t="s">
        <v>1037</v>
      </c>
      <c r="D40" t="s">
        <v>36</v>
      </c>
      <c r="E40">
        <v>72.599999999999994</v>
      </c>
      <c r="F40">
        <v>6</v>
      </c>
      <c r="G40">
        <v>21.78</v>
      </c>
      <c r="H40">
        <v>457.38</v>
      </c>
      <c r="I40" s="1">
        <v>43478</v>
      </c>
      <c r="J40" s="1">
        <v>0.82708333333333328</v>
      </c>
      <c r="K40" t="s">
        <v>29</v>
      </c>
      <c r="L40">
        <v>435.6</v>
      </c>
      <c r="M40">
        <v>21.78</v>
      </c>
      <c r="N40">
        <v>6.9</v>
      </c>
    </row>
    <row r="41" spans="1:14">
      <c r="A41" t="s">
        <v>563</v>
      </c>
      <c r="B41" t="s">
        <v>20</v>
      </c>
      <c r="C41" t="s">
        <v>1037</v>
      </c>
      <c r="D41" t="s">
        <v>46</v>
      </c>
      <c r="E41">
        <v>59.86</v>
      </c>
      <c r="F41">
        <v>2</v>
      </c>
      <c r="G41">
        <v>5.9859999999999998</v>
      </c>
      <c r="H41">
        <v>125.706</v>
      </c>
      <c r="I41" s="1">
        <v>43478</v>
      </c>
      <c r="J41" s="1">
        <v>0.62152777777777779</v>
      </c>
      <c r="K41" t="s">
        <v>23</v>
      </c>
      <c r="L41">
        <v>119.72</v>
      </c>
      <c r="M41">
        <v>5.9859999999999998</v>
      </c>
      <c r="N41">
        <v>6.7</v>
      </c>
    </row>
    <row r="42" spans="1:14">
      <c r="A42" t="s">
        <v>609</v>
      </c>
      <c r="B42" t="s">
        <v>27</v>
      </c>
      <c r="C42" t="s">
        <v>1037</v>
      </c>
      <c r="D42" t="s">
        <v>44</v>
      </c>
      <c r="E42">
        <v>72.39</v>
      </c>
      <c r="F42">
        <v>2</v>
      </c>
      <c r="G42">
        <v>7.2389999999999999</v>
      </c>
      <c r="H42">
        <v>152.01900000000001</v>
      </c>
      <c r="I42" s="1">
        <v>43478</v>
      </c>
      <c r="J42" s="1">
        <v>0.82986111111111116</v>
      </c>
      <c r="K42" t="s">
        <v>33</v>
      </c>
      <c r="L42">
        <v>144.78</v>
      </c>
      <c r="M42">
        <v>7.2389999999999999</v>
      </c>
      <c r="N42">
        <v>8.1</v>
      </c>
    </row>
    <row r="43" spans="1:14">
      <c r="A43" t="s">
        <v>418</v>
      </c>
      <c r="B43" t="s">
        <v>27</v>
      </c>
      <c r="C43" t="s">
        <v>1036</v>
      </c>
      <c r="D43" t="s">
        <v>44</v>
      </c>
      <c r="E43">
        <v>99.69</v>
      </c>
      <c r="F43">
        <v>5</v>
      </c>
      <c r="G43">
        <v>24.922499999999999</v>
      </c>
      <c r="H43">
        <v>523.37249999999995</v>
      </c>
      <c r="I43" s="1">
        <v>43479</v>
      </c>
      <c r="J43" s="1">
        <v>0.50624999999999998</v>
      </c>
      <c r="K43" t="s">
        <v>29</v>
      </c>
      <c r="L43">
        <v>498.45</v>
      </c>
      <c r="M43">
        <v>24.922499999999999</v>
      </c>
      <c r="N43">
        <v>9.9</v>
      </c>
    </row>
    <row r="44" spans="1:14">
      <c r="A44" t="s">
        <v>844</v>
      </c>
      <c r="B44" t="s">
        <v>27</v>
      </c>
      <c r="C44" t="s">
        <v>1036</v>
      </c>
      <c r="D44" t="s">
        <v>22</v>
      </c>
      <c r="E44">
        <v>17.75</v>
      </c>
      <c r="F44">
        <v>1</v>
      </c>
      <c r="G44">
        <v>0.88749999999999996</v>
      </c>
      <c r="H44">
        <v>18.637499999999999</v>
      </c>
      <c r="I44" s="1">
        <v>43479</v>
      </c>
      <c r="J44" s="1">
        <v>0.44305555555555554</v>
      </c>
      <c r="K44" t="s">
        <v>29</v>
      </c>
      <c r="L44">
        <v>17.75</v>
      </c>
      <c r="M44">
        <v>0.88749999999999996</v>
      </c>
      <c r="N44">
        <v>8.6</v>
      </c>
    </row>
    <row r="45" spans="1:14">
      <c r="A45" t="s">
        <v>619</v>
      </c>
      <c r="B45" t="s">
        <v>20</v>
      </c>
      <c r="C45" t="s">
        <v>1036</v>
      </c>
      <c r="D45" t="s">
        <v>46</v>
      </c>
      <c r="E45">
        <v>18.079999999999998</v>
      </c>
      <c r="F45">
        <v>4</v>
      </c>
      <c r="G45">
        <v>3.6160000000000001</v>
      </c>
      <c r="H45">
        <v>75.936000000000007</v>
      </c>
      <c r="I45" s="1">
        <v>43479</v>
      </c>
      <c r="J45" s="1">
        <v>0.75208333333333333</v>
      </c>
      <c r="K45" t="s">
        <v>33</v>
      </c>
      <c r="L45">
        <v>72.319999999999993</v>
      </c>
      <c r="M45">
        <v>3.6160000000000001</v>
      </c>
      <c r="N45">
        <v>9.5</v>
      </c>
    </row>
    <row r="46" spans="1:14">
      <c r="A46" t="s">
        <v>717</v>
      </c>
      <c r="B46" t="s">
        <v>27</v>
      </c>
      <c r="C46" t="s">
        <v>1036</v>
      </c>
      <c r="D46" t="s">
        <v>36</v>
      </c>
      <c r="E46">
        <v>34.81</v>
      </c>
      <c r="F46">
        <v>1</v>
      </c>
      <c r="G46">
        <v>1.7404999999999999</v>
      </c>
      <c r="H46">
        <v>36.5505</v>
      </c>
      <c r="I46" s="1">
        <v>43479</v>
      </c>
      <c r="J46" s="1">
        <v>0.42430555555555555</v>
      </c>
      <c r="K46" t="s">
        <v>33</v>
      </c>
      <c r="L46">
        <v>34.81</v>
      </c>
      <c r="M46">
        <v>1.7404999999999999</v>
      </c>
      <c r="N46">
        <v>7</v>
      </c>
    </row>
    <row r="47" spans="1:14">
      <c r="A47" t="s">
        <v>285</v>
      </c>
      <c r="B47" t="s">
        <v>27</v>
      </c>
      <c r="C47" t="s">
        <v>1037</v>
      </c>
      <c r="D47" t="s">
        <v>44</v>
      </c>
      <c r="E47">
        <v>73.06</v>
      </c>
      <c r="F47">
        <v>7</v>
      </c>
      <c r="G47">
        <v>25.571000000000002</v>
      </c>
      <c r="H47">
        <v>536.99099999999999</v>
      </c>
      <c r="I47" s="1">
        <v>43479</v>
      </c>
      <c r="J47" s="1">
        <v>0.79583333333333328</v>
      </c>
      <c r="K47" t="s">
        <v>33</v>
      </c>
      <c r="L47">
        <v>511.42</v>
      </c>
      <c r="M47">
        <v>25.571000000000002</v>
      </c>
      <c r="N47">
        <v>4.2</v>
      </c>
    </row>
    <row r="48" spans="1:14">
      <c r="A48" t="s">
        <v>828</v>
      </c>
      <c r="B48" t="s">
        <v>27</v>
      </c>
      <c r="C48" t="s">
        <v>1036</v>
      </c>
      <c r="D48" t="s">
        <v>32</v>
      </c>
      <c r="E48">
        <v>97.37</v>
      </c>
      <c r="F48">
        <v>10</v>
      </c>
      <c r="G48">
        <v>48.685000000000002</v>
      </c>
      <c r="H48">
        <v>1022.385</v>
      </c>
      <c r="I48" s="1">
        <v>43480</v>
      </c>
      <c r="J48" s="1">
        <v>0.57499999999999996</v>
      </c>
      <c r="K48" t="s">
        <v>33</v>
      </c>
      <c r="L48">
        <v>973.7</v>
      </c>
      <c r="M48">
        <v>48.685000000000002</v>
      </c>
      <c r="N48">
        <v>4.9000000000000004</v>
      </c>
    </row>
    <row r="49" spans="1:14">
      <c r="A49" t="s">
        <v>227</v>
      </c>
      <c r="B49" t="s">
        <v>27</v>
      </c>
      <c r="C49" t="s">
        <v>1036</v>
      </c>
      <c r="D49" t="s">
        <v>46</v>
      </c>
      <c r="E49">
        <v>73.52</v>
      </c>
      <c r="F49">
        <v>2</v>
      </c>
      <c r="G49">
        <v>7.3520000000000003</v>
      </c>
      <c r="H49">
        <v>154.392</v>
      </c>
      <c r="I49" s="1">
        <v>43480</v>
      </c>
      <c r="J49" s="1">
        <v>0.57013888888888886</v>
      </c>
      <c r="K49" t="s">
        <v>23</v>
      </c>
      <c r="L49">
        <v>147.04</v>
      </c>
      <c r="M49">
        <v>7.3520000000000003</v>
      </c>
      <c r="N49">
        <v>4.5999999999999996</v>
      </c>
    </row>
    <row r="50" spans="1:14">
      <c r="A50" t="s">
        <v>671</v>
      </c>
      <c r="B50" t="s">
        <v>20</v>
      </c>
      <c r="C50" t="s">
        <v>1037</v>
      </c>
      <c r="D50" t="s">
        <v>22</v>
      </c>
      <c r="E50">
        <v>66.47</v>
      </c>
      <c r="F50">
        <v>10</v>
      </c>
      <c r="G50">
        <v>33.234999999999999</v>
      </c>
      <c r="H50">
        <v>697.93499999999995</v>
      </c>
      <c r="I50" s="1">
        <v>43480</v>
      </c>
      <c r="J50" s="1">
        <v>0.62569444444444444</v>
      </c>
      <c r="K50" t="s">
        <v>33</v>
      </c>
      <c r="L50">
        <v>664.7</v>
      </c>
      <c r="M50">
        <v>33.234999999999999</v>
      </c>
      <c r="N50">
        <v>5</v>
      </c>
    </row>
    <row r="51" spans="1:14">
      <c r="A51" t="s">
        <v>51</v>
      </c>
      <c r="B51" t="s">
        <v>20</v>
      </c>
      <c r="C51" t="s">
        <v>1036</v>
      </c>
      <c r="D51" t="s">
        <v>36</v>
      </c>
      <c r="E51">
        <v>93.72</v>
      </c>
      <c r="F51">
        <v>6</v>
      </c>
      <c r="G51">
        <v>28.116</v>
      </c>
      <c r="H51">
        <v>590.43600000000004</v>
      </c>
      <c r="I51" s="1">
        <v>43480</v>
      </c>
      <c r="J51" s="1">
        <v>0.67986111111111114</v>
      </c>
      <c r="K51" t="s">
        <v>29</v>
      </c>
      <c r="L51">
        <v>562.32000000000005</v>
      </c>
      <c r="M51">
        <v>28.116</v>
      </c>
      <c r="N51">
        <v>4.5</v>
      </c>
    </row>
    <row r="52" spans="1:14">
      <c r="A52" t="s">
        <v>686</v>
      </c>
      <c r="B52" t="s">
        <v>27</v>
      </c>
      <c r="C52" t="s">
        <v>1037</v>
      </c>
      <c r="D52" t="s">
        <v>28</v>
      </c>
      <c r="E52">
        <v>75.66</v>
      </c>
      <c r="F52">
        <v>5</v>
      </c>
      <c r="G52">
        <v>18.914999999999999</v>
      </c>
      <c r="H52">
        <v>397.21499999999997</v>
      </c>
      <c r="I52" s="1">
        <v>43480</v>
      </c>
      <c r="J52" s="1">
        <v>0.76527777777777772</v>
      </c>
      <c r="K52" t="s">
        <v>23</v>
      </c>
      <c r="L52">
        <v>378.3</v>
      </c>
      <c r="M52">
        <v>18.914999999999999</v>
      </c>
      <c r="N52">
        <v>7.8</v>
      </c>
    </row>
    <row r="53" spans="1:14">
      <c r="A53" t="s">
        <v>562</v>
      </c>
      <c r="B53" t="s">
        <v>27</v>
      </c>
      <c r="C53" t="s">
        <v>1037</v>
      </c>
      <c r="D53" t="s">
        <v>46</v>
      </c>
      <c r="E53">
        <v>39.21</v>
      </c>
      <c r="F53">
        <v>4</v>
      </c>
      <c r="G53">
        <v>7.8419999999999996</v>
      </c>
      <c r="H53">
        <v>164.68199999999999</v>
      </c>
      <c r="I53" s="1">
        <v>43481</v>
      </c>
      <c r="J53" s="1">
        <v>0.8354166666666667</v>
      </c>
      <c r="K53" t="s">
        <v>33</v>
      </c>
      <c r="L53">
        <v>156.84</v>
      </c>
      <c r="M53">
        <v>7.8419999999999996</v>
      </c>
      <c r="N53">
        <v>9</v>
      </c>
    </row>
    <row r="54" spans="1:14">
      <c r="A54" t="s">
        <v>546</v>
      </c>
      <c r="B54" t="s">
        <v>20</v>
      </c>
      <c r="C54" t="s">
        <v>1036</v>
      </c>
      <c r="D54" t="s">
        <v>36</v>
      </c>
      <c r="E54">
        <v>90.74</v>
      </c>
      <c r="F54">
        <v>7</v>
      </c>
      <c r="G54">
        <v>31.759</v>
      </c>
      <c r="H54">
        <v>666.93899999999996</v>
      </c>
      <c r="I54" s="1">
        <v>43481</v>
      </c>
      <c r="J54" s="1">
        <v>0.75208333333333333</v>
      </c>
      <c r="K54" t="s">
        <v>33</v>
      </c>
      <c r="L54">
        <v>635.17999999999995</v>
      </c>
      <c r="M54">
        <v>31.759</v>
      </c>
      <c r="N54">
        <v>6.2</v>
      </c>
    </row>
    <row r="55" spans="1:14">
      <c r="A55" t="s">
        <v>153</v>
      </c>
      <c r="B55" t="s">
        <v>20</v>
      </c>
      <c r="C55" t="s">
        <v>1037</v>
      </c>
      <c r="D55" t="s">
        <v>46</v>
      </c>
      <c r="E55">
        <v>51.36</v>
      </c>
      <c r="F55">
        <v>1</v>
      </c>
      <c r="G55">
        <v>2.5680000000000001</v>
      </c>
      <c r="H55">
        <v>53.927999999999997</v>
      </c>
      <c r="I55" s="1">
        <v>43481</v>
      </c>
      <c r="J55" s="1">
        <v>0.6430555555555556</v>
      </c>
      <c r="K55" t="s">
        <v>23</v>
      </c>
      <c r="L55">
        <v>51.36</v>
      </c>
      <c r="M55">
        <v>2.5680000000000001</v>
      </c>
      <c r="N55">
        <v>5.2</v>
      </c>
    </row>
    <row r="56" spans="1:14">
      <c r="A56" t="s">
        <v>658</v>
      </c>
      <c r="B56" t="s">
        <v>20</v>
      </c>
      <c r="C56" t="s">
        <v>1036</v>
      </c>
      <c r="D56" t="s">
        <v>32</v>
      </c>
      <c r="E56">
        <v>94.59</v>
      </c>
      <c r="F56">
        <v>7</v>
      </c>
      <c r="G56">
        <v>33.106499999999997</v>
      </c>
      <c r="H56">
        <v>695.23649999999998</v>
      </c>
      <c r="I56" s="1">
        <v>43482</v>
      </c>
      <c r="J56" s="1">
        <v>0.64375000000000004</v>
      </c>
      <c r="K56" t="s">
        <v>33</v>
      </c>
      <c r="L56">
        <v>662.13</v>
      </c>
      <c r="M56">
        <v>33.106499999999997</v>
      </c>
      <c r="N56">
        <v>4.9000000000000004</v>
      </c>
    </row>
    <row r="57" spans="1:14">
      <c r="A57" t="s">
        <v>645</v>
      </c>
      <c r="B57" t="s">
        <v>20</v>
      </c>
      <c r="C57" t="s">
        <v>1037</v>
      </c>
      <c r="D57" t="s">
        <v>44</v>
      </c>
      <c r="E57">
        <v>57.89</v>
      </c>
      <c r="F57">
        <v>2</v>
      </c>
      <c r="G57">
        <v>5.7889999999999997</v>
      </c>
      <c r="H57">
        <v>121.569</v>
      </c>
      <c r="I57" s="1">
        <v>43482</v>
      </c>
      <c r="J57" s="1">
        <v>0.44236111111111109</v>
      </c>
      <c r="K57" t="s">
        <v>23</v>
      </c>
      <c r="L57">
        <v>115.78</v>
      </c>
      <c r="M57">
        <v>5.7889999999999997</v>
      </c>
      <c r="N57">
        <v>8.9</v>
      </c>
    </row>
    <row r="58" spans="1:14">
      <c r="A58" t="s">
        <v>705</v>
      </c>
      <c r="B58" t="s">
        <v>27</v>
      </c>
      <c r="C58" t="s">
        <v>1036</v>
      </c>
      <c r="D58" t="s">
        <v>36</v>
      </c>
      <c r="E58">
        <v>40.619999999999997</v>
      </c>
      <c r="F58">
        <v>2</v>
      </c>
      <c r="G58">
        <v>4.0620000000000003</v>
      </c>
      <c r="H58">
        <v>85.302000000000007</v>
      </c>
      <c r="I58" s="1">
        <v>43482</v>
      </c>
      <c r="J58" s="1">
        <v>0.41736111111111113</v>
      </c>
      <c r="K58" t="s">
        <v>33</v>
      </c>
      <c r="L58">
        <v>81.239999999999995</v>
      </c>
      <c r="M58">
        <v>4.0620000000000003</v>
      </c>
      <c r="N58">
        <v>4.0999999999999996</v>
      </c>
    </row>
    <row r="59" spans="1:14">
      <c r="A59" t="s">
        <v>76</v>
      </c>
      <c r="B59" t="s">
        <v>20</v>
      </c>
      <c r="C59" t="s">
        <v>1036</v>
      </c>
      <c r="D59" t="s">
        <v>32</v>
      </c>
      <c r="E59">
        <v>86.72</v>
      </c>
      <c r="F59">
        <v>1</v>
      </c>
      <c r="G59">
        <v>4.3360000000000003</v>
      </c>
      <c r="H59">
        <v>91.055999999999997</v>
      </c>
      <c r="I59" s="1">
        <v>43482</v>
      </c>
      <c r="J59" s="1">
        <v>0.78125</v>
      </c>
      <c r="K59" t="s">
        <v>23</v>
      </c>
      <c r="L59">
        <v>86.72</v>
      </c>
      <c r="M59">
        <v>4.3360000000000003</v>
      </c>
      <c r="N59">
        <v>7.9</v>
      </c>
    </row>
    <row r="60" spans="1:14">
      <c r="A60" t="s">
        <v>755</v>
      </c>
      <c r="B60" t="s">
        <v>20</v>
      </c>
      <c r="C60" t="s">
        <v>1036</v>
      </c>
      <c r="D60" t="s">
        <v>46</v>
      </c>
      <c r="E60">
        <v>17.48</v>
      </c>
      <c r="F60">
        <v>6</v>
      </c>
      <c r="G60">
        <v>5.2439999999999998</v>
      </c>
      <c r="H60">
        <v>110.124</v>
      </c>
      <c r="I60" s="1">
        <v>43483</v>
      </c>
      <c r="J60" s="1">
        <v>0.62777777777777777</v>
      </c>
      <c r="K60" t="s">
        <v>33</v>
      </c>
      <c r="L60">
        <v>104.88</v>
      </c>
      <c r="M60">
        <v>5.2439999999999998</v>
      </c>
      <c r="N60">
        <v>6.1</v>
      </c>
    </row>
    <row r="61" spans="1:14">
      <c r="A61" t="s">
        <v>210</v>
      </c>
      <c r="B61" t="s">
        <v>27</v>
      </c>
      <c r="C61" t="s">
        <v>1037</v>
      </c>
      <c r="D61" t="s">
        <v>44</v>
      </c>
      <c r="E61">
        <v>19.79</v>
      </c>
      <c r="F61">
        <v>8</v>
      </c>
      <c r="G61">
        <v>7.9160000000000004</v>
      </c>
      <c r="H61">
        <v>166.23599999999999</v>
      </c>
      <c r="I61" s="1">
        <v>43483</v>
      </c>
      <c r="J61" s="1">
        <v>0.50277777777777777</v>
      </c>
      <c r="K61" t="s">
        <v>23</v>
      </c>
      <c r="L61">
        <v>158.32</v>
      </c>
      <c r="M61">
        <v>7.9160000000000004</v>
      </c>
      <c r="N61">
        <v>8.6999999999999993</v>
      </c>
    </row>
    <row r="62" spans="1:14">
      <c r="A62" t="s">
        <v>620</v>
      </c>
      <c r="B62" t="s">
        <v>27</v>
      </c>
      <c r="C62" t="s">
        <v>1037</v>
      </c>
      <c r="D62" t="s">
        <v>36</v>
      </c>
      <c r="E62">
        <v>63.06</v>
      </c>
      <c r="F62">
        <v>3</v>
      </c>
      <c r="G62">
        <v>9.4589999999999996</v>
      </c>
      <c r="H62">
        <v>198.63900000000001</v>
      </c>
      <c r="I62" s="1">
        <v>43484</v>
      </c>
      <c r="J62" s="1">
        <v>0.66527777777777775</v>
      </c>
      <c r="K62" t="s">
        <v>23</v>
      </c>
      <c r="L62">
        <v>189.18</v>
      </c>
      <c r="M62">
        <v>9.4589999999999996</v>
      </c>
      <c r="N62">
        <v>7</v>
      </c>
    </row>
    <row r="63" spans="1:14">
      <c r="A63" t="s">
        <v>915</v>
      </c>
      <c r="B63" t="s">
        <v>20</v>
      </c>
      <c r="C63" t="s">
        <v>1036</v>
      </c>
      <c r="D63" t="s">
        <v>28</v>
      </c>
      <c r="E63">
        <v>12.1</v>
      </c>
      <c r="F63">
        <v>8</v>
      </c>
      <c r="G63">
        <v>4.84</v>
      </c>
      <c r="H63">
        <v>101.64</v>
      </c>
      <c r="I63" s="1">
        <v>43484</v>
      </c>
      <c r="J63" s="1">
        <v>0.4284722222222222</v>
      </c>
      <c r="K63" t="s">
        <v>23</v>
      </c>
      <c r="L63">
        <v>96.8</v>
      </c>
      <c r="M63">
        <v>4.84</v>
      </c>
      <c r="N63">
        <v>8.6</v>
      </c>
    </row>
    <row r="64" spans="1:14">
      <c r="A64" t="s">
        <v>209</v>
      </c>
      <c r="B64" t="s">
        <v>20</v>
      </c>
      <c r="C64" t="s">
        <v>1037</v>
      </c>
      <c r="D64" t="s">
        <v>28</v>
      </c>
      <c r="E64">
        <v>52.89</v>
      </c>
      <c r="F64">
        <v>6</v>
      </c>
      <c r="G64">
        <v>15.867000000000001</v>
      </c>
      <c r="H64">
        <v>333.20699999999999</v>
      </c>
      <c r="I64" s="1">
        <v>43484</v>
      </c>
      <c r="J64" s="1">
        <v>0.7319444444444444</v>
      </c>
      <c r="K64" t="s">
        <v>33</v>
      </c>
      <c r="L64">
        <v>317.33999999999997</v>
      </c>
      <c r="M64">
        <v>15.867000000000001</v>
      </c>
      <c r="N64">
        <v>9.8000000000000007</v>
      </c>
    </row>
    <row r="65" spans="1:14">
      <c r="A65" t="s">
        <v>591</v>
      </c>
      <c r="B65" t="s">
        <v>27</v>
      </c>
      <c r="C65" t="s">
        <v>1037</v>
      </c>
      <c r="D65" t="s">
        <v>32</v>
      </c>
      <c r="E65">
        <v>37.479999999999997</v>
      </c>
      <c r="F65">
        <v>3</v>
      </c>
      <c r="G65">
        <v>5.6219999999999999</v>
      </c>
      <c r="H65">
        <v>118.062</v>
      </c>
      <c r="I65" s="1">
        <v>43485</v>
      </c>
      <c r="J65" s="1">
        <v>0.57291666666666663</v>
      </c>
      <c r="K65" t="s">
        <v>33</v>
      </c>
      <c r="L65">
        <v>112.44</v>
      </c>
      <c r="M65">
        <v>5.6219999999999999</v>
      </c>
      <c r="N65">
        <v>7.7</v>
      </c>
    </row>
    <row r="66" spans="1:14">
      <c r="A66" t="s">
        <v>155</v>
      </c>
      <c r="B66" t="s">
        <v>27</v>
      </c>
      <c r="C66" t="s">
        <v>1037</v>
      </c>
      <c r="D66" t="s">
        <v>32</v>
      </c>
      <c r="E66">
        <v>53.44</v>
      </c>
      <c r="F66">
        <v>2</v>
      </c>
      <c r="G66">
        <v>5.3440000000000003</v>
      </c>
      <c r="H66">
        <v>112.224</v>
      </c>
      <c r="I66" s="1">
        <v>43485</v>
      </c>
      <c r="J66" s="1">
        <v>0.85972222222222228</v>
      </c>
      <c r="K66" t="s">
        <v>23</v>
      </c>
      <c r="L66">
        <v>106.88</v>
      </c>
      <c r="M66">
        <v>5.3440000000000003</v>
      </c>
      <c r="N66">
        <v>4.0999999999999996</v>
      </c>
    </row>
    <row r="67" spans="1:14">
      <c r="A67" t="s">
        <v>534</v>
      </c>
      <c r="B67" t="s">
        <v>20</v>
      </c>
      <c r="C67" t="s">
        <v>1036</v>
      </c>
      <c r="D67" t="s">
        <v>36</v>
      </c>
      <c r="E67">
        <v>98.13</v>
      </c>
      <c r="F67">
        <v>1</v>
      </c>
      <c r="G67">
        <v>4.9065000000000003</v>
      </c>
      <c r="H67">
        <v>103.0365</v>
      </c>
      <c r="I67" s="1">
        <v>43486</v>
      </c>
      <c r="J67" s="1">
        <v>0.73333333333333328</v>
      </c>
      <c r="K67" t="s">
        <v>29</v>
      </c>
      <c r="L67">
        <v>98.13</v>
      </c>
      <c r="M67">
        <v>4.9065000000000003</v>
      </c>
      <c r="N67">
        <v>8.9</v>
      </c>
    </row>
    <row r="68" spans="1:14">
      <c r="A68" t="s">
        <v>811</v>
      </c>
      <c r="B68" t="s">
        <v>27</v>
      </c>
      <c r="C68" t="s">
        <v>1036</v>
      </c>
      <c r="D68" t="s">
        <v>44</v>
      </c>
      <c r="E68">
        <v>28.86</v>
      </c>
      <c r="F68">
        <v>5</v>
      </c>
      <c r="G68">
        <v>7.2149999999999999</v>
      </c>
      <c r="H68">
        <v>151.51499999999999</v>
      </c>
      <c r="I68" s="1">
        <v>43487</v>
      </c>
      <c r="J68" s="1">
        <v>0.75555555555555554</v>
      </c>
      <c r="K68" t="s">
        <v>33</v>
      </c>
      <c r="L68">
        <v>144.30000000000001</v>
      </c>
      <c r="M68">
        <v>7.2149999999999999</v>
      </c>
      <c r="N68">
        <v>8</v>
      </c>
    </row>
    <row r="69" spans="1:14">
      <c r="A69" t="s">
        <v>687</v>
      </c>
      <c r="B69" t="s">
        <v>27</v>
      </c>
      <c r="C69" t="s">
        <v>1036</v>
      </c>
      <c r="D69" t="s">
        <v>22</v>
      </c>
      <c r="E69">
        <v>55.81</v>
      </c>
      <c r="F69">
        <v>6</v>
      </c>
      <c r="G69">
        <v>16.742999999999999</v>
      </c>
      <c r="H69">
        <v>351.60300000000001</v>
      </c>
      <c r="I69" s="1">
        <v>43487</v>
      </c>
      <c r="J69" s="1">
        <v>0.49444444444444446</v>
      </c>
      <c r="K69" t="s">
        <v>29</v>
      </c>
      <c r="L69">
        <v>334.86</v>
      </c>
      <c r="M69">
        <v>16.742999999999999</v>
      </c>
      <c r="N69">
        <v>9.9</v>
      </c>
    </row>
    <row r="70" spans="1:14">
      <c r="A70" t="s">
        <v>648</v>
      </c>
      <c r="B70" t="s">
        <v>20</v>
      </c>
      <c r="C70" t="s">
        <v>1037</v>
      </c>
      <c r="D70" t="s">
        <v>46</v>
      </c>
      <c r="E70">
        <v>93.22</v>
      </c>
      <c r="F70">
        <v>3</v>
      </c>
      <c r="G70">
        <v>13.983000000000001</v>
      </c>
      <c r="H70">
        <v>293.64299999999997</v>
      </c>
      <c r="I70" s="1">
        <v>43489</v>
      </c>
      <c r="J70" s="1">
        <v>0.48958333333333331</v>
      </c>
      <c r="K70" t="s">
        <v>29</v>
      </c>
      <c r="L70">
        <v>279.66000000000003</v>
      </c>
      <c r="M70">
        <v>13.983000000000001</v>
      </c>
      <c r="N70">
        <v>7.2</v>
      </c>
    </row>
    <row r="71" spans="1:14">
      <c r="A71" t="s">
        <v>789</v>
      </c>
      <c r="B71" t="s">
        <v>27</v>
      </c>
      <c r="C71" t="s">
        <v>1037</v>
      </c>
      <c r="D71" t="s">
        <v>32</v>
      </c>
      <c r="E71">
        <v>73.28</v>
      </c>
      <c r="F71">
        <v>5</v>
      </c>
      <c r="G71">
        <v>18.32</v>
      </c>
      <c r="H71">
        <v>384.72</v>
      </c>
      <c r="I71" s="1">
        <v>43489</v>
      </c>
      <c r="J71" s="1">
        <v>0.62847222222222221</v>
      </c>
      <c r="K71" t="s">
        <v>23</v>
      </c>
      <c r="L71">
        <v>366.4</v>
      </c>
      <c r="M71">
        <v>18.32</v>
      </c>
      <c r="N71">
        <v>8.4</v>
      </c>
    </row>
    <row r="72" spans="1:14">
      <c r="A72" t="s">
        <v>769</v>
      </c>
      <c r="B72" t="s">
        <v>27</v>
      </c>
      <c r="C72" t="s">
        <v>1037</v>
      </c>
      <c r="D72" t="s">
        <v>28</v>
      </c>
      <c r="E72">
        <v>75.88</v>
      </c>
      <c r="F72">
        <v>7</v>
      </c>
      <c r="G72">
        <v>26.558</v>
      </c>
      <c r="H72">
        <v>557.71799999999996</v>
      </c>
      <c r="I72" s="1">
        <v>43489</v>
      </c>
      <c r="J72" s="1">
        <v>0.44305555555555554</v>
      </c>
      <c r="K72" t="s">
        <v>23</v>
      </c>
      <c r="L72">
        <v>531.16</v>
      </c>
      <c r="M72">
        <v>26.558</v>
      </c>
      <c r="N72">
        <v>8.9</v>
      </c>
    </row>
    <row r="73" spans="1:14">
      <c r="A73" t="s">
        <v>720</v>
      </c>
      <c r="B73" t="s">
        <v>20</v>
      </c>
      <c r="C73" t="s">
        <v>1036</v>
      </c>
      <c r="D73" t="s">
        <v>36</v>
      </c>
      <c r="E73">
        <v>23.08</v>
      </c>
      <c r="F73">
        <v>6</v>
      </c>
      <c r="G73">
        <v>6.9240000000000004</v>
      </c>
      <c r="H73">
        <v>145.404</v>
      </c>
      <c r="I73" s="1">
        <v>43489</v>
      </c>
      <c r="J73" s="1">
        <v>0.80555555555555558</v>
      </c>
      <c r="K73" t="s">
        <v>23</v>
      </c>
      <c r="L73">
        <v>138.47999999999999</v>
      </c>
      <c r="M73">
        <v>6.9240000000000004</v>
      </c>
      <c r="N73">
        <v>4.9000000000000004</v>
      </c>
    </row>
    <row r="74" spans="1:14">
      <c r="A74" t="s">
        <v>326</v>
      </c>
      <c r="B74" t="s">
        <v>20</v>
      </c>
      <c r="C74" t="s">
        <v>1037</v>
      </c>
      <c r="D74" t="s">
        <v>28</v>
      </c>
      <c r="E74">
        <v>40.299999999999997</v>
      </c>
      <c r="F74">
        <v>10</v>
      </c>
      <c r="G74">
        <v>20.149999999999999</v>
      </c>
      <c r="H74">
        <v>423.15</v>
      </c>
      <c r="I74" s="1">
        <v>43489</v>
      </c>
      <c r="J74" s="1">
        <v>0.73402777777777772</v>
      </c>
      <c r="K74" t="s">
        <v>33</v>
      </c>
      <c r="L74">
        <v>403</v>
      </c>
      <c r="M74">
        <v>20.149999999999999</v>
      </c>
      <c r="N74">
        <v>7</v>
      </c>
    </row>
    <row r="75" spans="1:14">
      <c r="A75" t="s">
        <v>1027</v>
      </c>
      <c r="B75" t="s">
        <v>27</v>
      </c>
      <c r="C75" t="s">
        <v>1036</v>
      </c>
      <c r="D75" t="s">
        <v>36</v>
      </c>
      <c r="E75">
        <v>76.599999999999994</v>
      </c>
      <c r="F75">
        <v>10</v>
      </c>
      <c r="G75">
        <v>38.299999999999997</v>
      </c>
      <c r="H75">
        <v>804.3</v>
      </c>
      <c r="I75" s="1">
        <v>43489</v>
      </c>
      <c r="J75" s="1">
        <v>0.75694444444444442</v>
      </c>
      <c r="K75" t="s">
        <v>23</v>
      </c>
      <c r="L75">
        <v>766</v>
      </c>
      <c r="M75">
        <v>38.299999999999997</v>
      </c>
      <c r="N75">
        <v>6</v>
      </c>
    </row>
    <row r="76" spans="1:14">
      <c r="A76" t="s">
        <v>364</v>
      </c>
      <c r="B76" t="s">
        <v>20</v>
      </c>
      <c r="C76" t="s">
        <v>1037</v>
      </c>
      <c r="D76" t="s">
        <v>22</v>
      </c>
      <c r="E76">
        <v>51.13</v>
      </c>
      <c r="F76">
        <v>4</v>
      </c>
      <c r="G76">
        <v>10.226000000000001</v>
      </c>
      <c r="H76">
        <v>214.74600000000001</v>
      </c>
      <c r="I76" s="1">
        <v>43490</v>
      </c>
      <c r="J76" s="1">
        <v>0.42430555555555555</v>
      </c>
      <c r="K76" t="s">
        <v>33</v>
      </c>
      <c r="L76">
        <v>204.52</v>
      </c>
      <c r="M76">
        <v>10.226000000000001</v>
      </c>
      <c r="N76">
        <v>4</v>
      </c>
    </row>
    <row r="77" spans="1:14">
      <c r="A77" t="s">
        <v>451</v>
      </c>
      <c r="B77" t="s">
        <v>27</v>
      </c>
      <c r="C77" t="s">
        <v>1037</v>
      </c>
      <c r="D77" t="s">
        <v>22</v>
      </c>
      <c r="E77">
        <v>96.11</v>
      </c>
      <c r="F77">
        <v>1</v>
      </c>
      <c r="G77">
        <v>4.8055000000000003</v>
      </c>
      <c r="H77">
        <v>100.91549999999999</v>
      </c>
      <c r="I77" s="1">
        <v>43490</v>
      </c>
      <c r="J77" s="1">
        <v>0.68611111111111112</v>
      </c>
      <c r="K77" t="s">
        <v>23</v>
      </c>
      <c r="L77">
        <v>96.11</v>
      </c>
      <c r="M77">
        <v>4.8055000000000003</v>
      </c>
      <c r="N77">
        <v>7.8</v>
      </c>
    </row>
    <row r="78" spans="1:14">
      <c r="A78" t="s">
        <v>166</v>
      </c>
      <c r="B78" t="s">
        <v>27</v>
      </c>
      <c r="C78" t="s">
        <v>1036</v>
      </c>
      <c r="D78" t="s">
        <v>46</v>
      </c>
      <c r="E78">
        <v>39.619999999999997</v>
      </c>
      <c r="F78">
        <v>7</v>
      </c>
      <c r="G78">
        <v>13.867000000000001</v>
      </c>
      <c r="H78">
        <v>291.20699999999999</v>
      </c>
      <c r="I78" s="1">
        <v>43490</v>
      </c>
      <c r="J78" s="1">
        <v>0.5541666666666667</v>
      </c>
      <c r="K78" t="s">
        <v>29</v>
      </c>
      <c r="L78">
        <v>277.33999999999997</v>
      </c>
      <c r="M78">
        <v>13.867000000000001</v>
      </c>
      <c r="N78">
        <v>7.5</v>
      </c>
    </row>
    <row r="79" spans="1:14">
      <c r="A79" t="s">
        <v>324</v>
      </c>
      <c r="B79" t="s">
        <v>27</v>
      </c>
      <c r="C79" t="s">
        <v>1036</v>
      </c>
      <c r="D79" t="s">
        <v>44</v>
      </c>
      <c r="E79">
        <v>48.51</v>
      </c>
      <c r="F79">
        <v>7</v>
      </c>
      <c r="G79">
        <v>16.9785</v>
      </c>
      <c r="H79">
        <v>356.54849999999999</v>
      </c>
      <c r="I79" s="1">
        <v>43490</v>
      </c>
      <c r="J79" s="1">
        <v>0.5625</v>
      </c>
      <c r="K79" t="s">
        <v>33</v>
      </c>
      <c r="L79">
        <v>339.57</v>
      </c>
      <c r="M79">
        <v>16.9785</v>
      </c>
      <c r="N79">
        <v>5.2</v>
      </c>
    </row>
    <row r="80" spans="1:14">
      <c r="A80" t="s">
        <v>447</v>
      </c>
      <c r="B80" t="s">
        <v>27</v>
      </c>
      <c r="C80" t="s">
        <v>1037</v>
      </c>
      <c r="D80" t="s">
        <v>36</v>
      </c>
      <c r="E80">
        <v>21.87</v>
      </c>
      <c r="F80">
        <v>2</v>
      </c>
      <c r="G80">
        <v>2.1869999999999998</v>
      </c>
      <c r="H80">
        <v>45.927</v>
      </c>
      <c r="I80" s="1">
        <v>43490</v>
      </c>
      <c r="J80" s="1">
        <v>0.60347222222222219</v>
      </c>
      <c r="K80" t="s">
        <v>23</v>
      </c>
      <c r="L80">
        <v>43.74</v>
      </c>
      <c r="M80">
        <v>2.1869999999999998</v>
      </c>
      <c r="N80">
        <v>6.9</v>
      </c>
    </row>
    <row r="81" spans="1:14">
      <c r="A81" t="s">
        <v>407</v>
      </c>
      <c r="B81" t="s">
        <v>27</v>
      </c>
      <c r="C81" t="s">
        <v>1036</v>
      </c>
      <c r="D81" t="s">
        <v>46</v>
      </c>
      <c r="E81">
        <v>60.96</v>
      </c>
      <c r="F81">
        <v>2</v>
      </c>
      <c r="G81">
        <v>6.0960000000000001</v>
      </c>
      <c r="H81">
        <v>128.01599999999999</v>
      </c>
      <c r="I81" s="1">
        <v>43490</v>
      </c>
      <c r="J81" s="1">
        <v>0.81874999999999998</v>
      </c>
      <c r="K81" t="s">
        <v>33</v>
      </c>
      <c r="L81">
        <v>121.92</v>
      </c>
      <c r="M81">
        <v>6.0960000000000001</v>
      </c>
      <c r="N81">
        <v>4.9000000000000004</v>
      </c>
    </row>
    <row r="82" spans="1:14">
      <c r="A82" t="s">
        <v>64</v>
      </c>
      <c r="B82" t="s">
        <v>27</v>
      </c>
      <c r="C82" t="s">
        <v>1036</v>
      </c>
      <c r="D82" t="s">
        <v>44</v>
      </c>
      <c r="E82">
        <v>88.36</v>
      </c>
      <c r="F82">
        <v>5</v>
      </c>
      <c r="G82">
        <v>22.09</v>
      </c>
      <c r="H82">
        <v>463.89</v>
      </c>
      <c r="I82" s="1">
        <v>43490</v>
      </c>
      <c r="J82" s="1">
        <v>0.82499999999999996</v>
      </c>
      <c r="K82" t="s">
        <v>29</v>
      </c>
      <c r="L82">
        <v>441.8</v>
      </c>
      <c r="M82">
        <v>22.09</v>
      </c>
      <c r="N82">
        <v>9.6</v>
      </c>
    </row>
    <row r="83" spans="1:14">
      <c r="A83" t="s">
        <v>1000</v>
      </c>
      <c r="B83" t="s">
        <v>27</v>
      </c>
      <c r="C83" t="s">
        <v>1037</v>
      </c>
      <c r="D83" t="s">
        <v>44</v>
      </c>
      <c r="E83">
        <v>33.33</v>
      </c>
      <c r="F83">
        <v>2</v>
      </c>
      <c r="G83">
        <v>3.3330000000000002</v>
      </c>
      <c r="H83">
        <v>69.992999999999995</v>
      </c>
      <c r="I83" s="1">
        <v>43491</v>
      </c>
      <c r="J83" s="1">
        <v>0.6118055555555556</v>
      </c>
      <c r="K83" t="s">
        <v>33</v>
      </c>
      <c r="L83">
        <v>66.66</v>
      </c>
      <c r="M83">
        <v>3.3330000000000002</v>
      </c>
      <c r="N83">
        <v>6.4</v>
      </c>
    </row>
    <row r="84" spans="1:14">
      <c r="A84" t="s">
        <v>262</v>
      </c>
      <c r="B84" t="s">
        <v>20</v>
      </c>
      <c r="C84" t="s">
        <v>1037</v>
      </c>
      <c r="D84" t="s">
        <v>22</v>
      </c>
      <c r="E84">
        <v>69.37</v>
      </c>
      <c r="F84">
        <v>9</v>
      </c>
      <c r="G84">
        <v>31.2165</v>
      </c>
      <c r="H84">
        <v>655.54650000000004</v>
      </c>
      <c r="I84" s="1">
        <v>43491</v>
      </c>
      <c r="J84" s="1">
        <v>0.80138888888888893</v>
      </c>
      <c r="K84" t="s">
        <v>23</v>
      </c>
      <c r="L84">
        <v>624.33000000000004</v>
      </c>
      <c r="M84">
        <v>31.2165</v>
      </c>
      <c r="N84">
        <v>4</v>
      </c>
    </row>
    <row r="85" spans="1:14">
      <c r="A85" t="s">
        <v>584</v>
      </c>
      <c r="B85" t="s">
        <v>27</v>
      </c>
      <c r="C85" t="s">
        <v>1036</v>
      </c>
      <c r="D85" t="s">
        <v>36</v>
      </c>
      <c r="E85">
        <v>51.54</v>
      </c>
      <c r="F85">
        <v>5</v>
      </c>
      <c r="G85">
        <v>12.885</v>
      </c>
      <c r="H85">
        <v>270.58499999999998</v>
      </c>
      <c r="I85" s="1">
        <v>43491</v>
      </c>
      <c r="J85" s="1">
        <v>0.73958333333333337</v>
      </c>
      <c r="K85" t="s">
        <v>29</v>
      </c>
      <c r="L85">
        <v>257.7</v>
      </c>
      <c r="M85">
        <v>12.885</v>
      </c>
      <c r="N85">
        <v>4.2</v>
      </c>
    </row>
    <row r="86" spans="1:14">
      <c r="A86" t="s">
        <v>207</v>
      </c>
      <c r="B86" t="s">
        <v>20</v>
      </c>
      <c r="C86" t="s">
        <v>1037</v>
      </c>
      <c r="D86" t="s">
        <v>44</v>
      </c>
      <c r="E86">
        <v>80.05</v>
      </c>
      <c r="F86">
        <v>5</v>
      </c>
      <c r="G86">
        <v>20.012499999999999</v>
      </c>
      <c r="H86">
        <v>420.26249999999999</v>
      </c>
      <c r="I86" s="1">
        <v>43491</v>
      </c>
      <c r="J86" s="1">
        <v>0.53125</v>
      </c>
      <c r="K86" t="s">
        <v>33</v>
      </c>
      <c r="L86">
        <v>400.25</v>
      </c>
      <c r="M86">
        <v>20.012499999999999</v>
      </c>
      <c r="N86">
        <v>9.4</v>
      </c>
    </row>
    <row r="87" spans="1:14">
      <c r="A87" t="s">
        <v>229</v>
      </c>
      <c r="B87" t="s">
        <v>27</v>
      </c>
      <c r="C87" t="s">
        <v>1037</v>
      </c>
      <c r="D87" t="s">
        <v>32</v>
      </c>
      <c r="E87">
        <v>25.55</v>
      </c>
      <c r="F87">
        <v>4</v>
      </c>
      <c r="G87">
        <v>5.1100000000000003</v>
      </c>
      <c r="H87">
        <v>107.31</v>
      </c>
      <c r="I87" s="1">
        <v>43491</v>
      </c>
      <c r="J87" s="1">
        <v>0.84930555555555554</v>
      </c>
      <c r="K87" t="s">
        <v>23</v>
      </c>
      <c r="L87">
        <v>102.2</v>
      </c>
      <c r="M87">
        <v>5.1100000000000003</v>
      </c>
      <c r="N87">
        <v>5.7</v>
      </c>
    </row>
    <row r="88" spans="1:14">
      <c r="A88" t="s">
        <v>427</v>
      </c>
      <c r="B88" t="s">
        <v>27</v>
      </c>
      <c r="C88" t="s">
        <v>1036</v>
      </c>
      <c r="D88" t="s">
        <v>46</v>
      </c>
      <c r="E88">
        <v>37.950000000000003</v>
      </c>
      <c r="F88">
        <v>10</v>
      </c>
      <c r="G88">
        <v>18.975000000000001</v>
      </c>
      <c r="H88">
        <v>398.47500000000002</v>
      </c>
      <c r="I88" s="1">
        <v>43491</v>
      </c>
      <c r="J88" s="1">
        <v>0.61875000000000002</v>
      </c>
      <c r="K88" t="s">
        <v>29</v>
      </c>
      <c r="L88">
        <v>379.5</v>
      </c>
      <c r="M88">
        <v>18.975000000000001</v>
      </c>
      <c r="N88">
        <v>9.6999999999999993</v>
      </c>
    </row>
    <row r="89" spans="1:14">
      <c r="A89" t="s">
        <v>661</v>
      </c>
      <c r="B89" t="s">
        <v>20</v>
      </c>
      <c r="C89" t="s">
        <v>1036</v>
      </c>
      <c r="D89" t="s">
        <v>44</v>
      </c>
      <c r="E89">
        <v>78.88</v>
      </c>
      <c r="F89">
        <v>2</v>
      </c>
      <c r="G89">
        <v>7.8879999999999999</v>
      </c>
      <c r="H89">
        <v>165.648</v>
      </c>
      <c r="I89" s="1">
        <v>43491</v>
      </c>
      <c r="J89" s="1">
        <v>0.6694444444444444</v>
      </c>
      <c r="K89" t="s">
        <v>29</v>
      </c>
      <c r="L89">
        <v>157.76</v>
      </c>
      <c r="M89">
        <v>7.8879999999999999</v>
      </c>
      <c r="N89">
        <v>9.1</v>
      </c>
    </row>
    <row r="90" spans="1:14">
      <c r="A90" t="s">
        <v>1008</v>
      </c>
      <c r="B90" t="s">
        <v>27</v>
      </c>
      <c r="C90" t="s">
        <v>1037</v>
      </c>
      <c r="D90" t="s">
        <v>28</v>
      </c>
      <c r="E90">
        <v>87.08</v>
      </c>
      <c r="F90">
        <v>7</v>
      </c>
      <c r="G90">
        <v>30.478000000000002</v>
      </c>
      <c r="H90">
        <v>640.03800000000001</v>
      </c>
      <c r="I90" s="1">
        <v>43491</v>
      </c>
      <c r="J90" s="1">
        <v>0.63680555555555551</v>
      </c>
      <c r="K90" t="s">
        <v>29</v>
      </c>
      <c r="L90">
        <v>609.55999999999995</v>
      </c>
      <c r="M90">
        <v>30.478000000000002</v>
      </c>
      <c r="N90">
        <v>5.5</v>
      </c>
    </row>
    <row r="91" spans="1:14">
      <c r="A91" t="s">
        <v>266</v>
      </c>
      <c r="B91" t="s">
        <v>27</v>
      </c>
      <c r="C91" t="s">
        <v>1036</v>
      </c>
      <c r="D91" t="s">
        <v>46</v>
      </c>
      <c r="E91">
        <v>81.37</v>
      </c>
      <c r="F91">
        <v>2</v>
      </c>
      <c r="G91">
        <v>8.1370000000000005</v>
      </c>
      <c r="H91">
        <v>170.87700000000001</v>
      </c>
      <c r="I91" s="1">
        <v>43491</v>
      </c>
      <c r="J91" s="1">
        <v>0.81111111111111112</v>
      </c>
      <c r="K91" t="s">
        <v>29</v>
      </c>
      <c r="L91">
        <v>162.74</v>
      </c>
      <c r="M91">
        <v>8.1370000000000005</v>
      </c>
      <c r="N91">
        <v>6.5</v>
      </c>
    </row>
    <row r="92" spans="1:14">
      <c r="A92" t="s">
        <v>117</v>
      </c>
      <c r="B92" t="s">
        <v>27</v>
      </c>
      <c r="C92" t="s">
        <v>1036</v>
      </c>
      <c r="D92" t="s">
        <v>44</v>
      </c>
      <c r="E92">
        <v>96.68</v>
      </c>
      <c r="F92">
        <v>3</v>
      </c>
      <c r="G92">
        <v>14.502000000000001</v>
      </c>
      <c r="H92">
        <v>304.54199999999997</v>
      </c>
      <c r="I92" s="1">
        <v>43491</v>
      </c>
      <c r="J92" s="1">
        <v>0.8305555555555556</v>
      </c>
      <c r="K92" t="s">
        <v>23</v>
      </c>
      <c r="L92">
        <v>290.04000000000002</v>
      </c>
      <c r="M92">
        <v>14.502000000000001</v>
      </c>
      <c r="N92">
        <v>6.4</v>
      </c>
    </row>
    <row r="93" spans="1:14">
      <c r="A93" t="s">
        <v>945</v>
      </c>
      <c r="B93" t="s">
        <v>27</v>
      </c>
      <c r="C93" t="s">
        <v>1036</v>
      </c>
      <c r="D93" t="s">
        <v>32</v>
      </c>
      <c r="E93">
        <v>49.01</v>
      </c>
      <c r="F93">
        <v>10</v>
      </c>
      <c r="G93">
        <v>24.504999999999999</v>
      </c>
      <c r="H93">
        <v>514.60500000000002</v>
      </c>
      <c r="I93" s="1">
        <v>43492</v>
      </c>
      <c r="J93" s="1">
        <v>0.44722222222222224</v>
      </c>
      <c r="K93" t="s">
        <v>33</v>
      </c>
      <c r="L93">
        <v>490.1</v>
      </c>
      <c r="M93">
        <v>24.504999999999999</v>
      </c>
      <c r="N93">
        <v>4.2</v>
      </c>
    </row>
    <row r="94" spans="1:14">
      <c r="A94" t="s">
        <v>854</v>
      </c>
      <c r="B94" t="s">
        <v>20</v>
      </c>
      <c r="C94" t="s">
        <v>1037</v>
      </c>
      <c r="D94" t="s">
        <v>22</v>
      </c>
      <c r="E94">
        <v>96.16</v>
      </c>
      <c r="F94">
        <v>4</v>
      </c>
      <c r="G94">
        <v>19.231999999999999</v>
      </c>
      <c r="H94">
        <v>403.87200000000001</v>
      </c>
      <c r="I94" s="1">
        <v>43492</v>
      </c>
      <c r="J94" s="1">
        <v>0.8354166666666667</v>
      </c>
      <c r="K94" t="s">
        <v>33</v>
      </c>
      <c r="L94">
        <v>384.64</v>
      </c>
      <c r="M94">
        <v>19.231999999999999</v>
      </c>
      <c r="N94">
        <v>8.4</v>
      </c>
    </row>
    <row r="95" spans="1:14">
      <c r="A95" t="s">
        <v>908</v>
      </c>
      <c r="B95" t="s">
        <v>20</v>
      </c>
      <c r="C95" t="s">
        <v>1036</v>
      </c>
      <c r="D95" t="s">
        <v>28</v>
      </c>
      <c r="E95">
        <v>21.43</v>
      </c>
      <c r="F95">
        <v>10</v>
      </c>
      <c r="G95">
        <v>10.715</v>
      </c>
      <c r="H95">
        <v>225.01499999999999</v>
      </c>
      <c r="I95" s="1">
        <v>43493</v>
      </c>
      <c r="J95" s="1">
        <v>0.49375000000000002</v>
      </c>
      <c r="K95" t="s">
        <v>29</v>
      </c>
      <c r="L95">
        <v>214.3</v>
      </c>
      <c r="M95">
        <v>10.715</v>
      </c>
      <c r="N95">
        <v>6.2</v>
      </c>
    </row>
    <row r="96" spans="1:14">
      <c r="A96" t="s">
        <v>1025</v>
      </c>
      <c r="B96" t="s">
        <v>20</v>
      </c>
      <c r="C96" t="s">
        <v>1037</v>
      </c>
      <c r="D96" t="s">
        <v>22</v>
      </c>
      <c r="E96">
        <v>75.37</v>
      </c>
      <c r="F96">
        <v>8</v>
      </c>
      <c r="G96">
        <v>30.148</v>
      </c>
      <c r="H96">
        <v>633.10799999999995</v>
      </c>
      <c r="I96" s="1">
        <v>43493</v>
      </c>
      <c r="J96" s="1">
        <v>0.65694444444444444</v>
      </c>
      <c r="K96" t="s">
        <v>33</v>
      </c>
      <c r="L96">
        <v>602.96</v>
      </c>
      <c r="M96">
        <v>30.148</v>
      </c>
      <c r="N96">
        <v>8.4</v>
      </c>
    </row>
    <row r="97" spans="1:14">
      <c r="A97" t="s">
        <v>862</v>
      </c>
      <c r="B97" t="s">
        <v>20</v>
      </c>
      <c r="C97" t="s">
        <v>1036</v>
      </c>
      <c r="D97" t="s">
        <v>22</v>
      </c>
      <c r="E97">
        <v>72.11</v>
      </c>
      <c r="F97">
        <v>9</v>
      </c>
      <c r="G97">
        <v>32.4495</v>
      </c>
      <c r="H97">
        <v>681.43949999999995</v>
      </c>
      <c r="I97" s="1">
        <v>43493</v>
      </c>
      <c r="J97" s="1">
        <v>0.57847222222222228</v>
      </c>
      <c r="K97" t="s">
        <v>33</v>
      </c>
      <c r="L97">
        <v>648.99</v>
      </c>
      <c r="M97">
        <v>32.4495</v>
      </c>
      <c r="N97">
        <v>7.7</v>
      </c>
    </row>
    <row r="98" spans="1:14">
      <c r="A98" t="s">
        <v>481</v>
      </c>
      <c r="B98" t="s">
        <v>20</v>
      </c>
      <c r="C98" t="s">
        <v>1036</v>
      </c>
      <c r="D98" t="s">
        <v>22</v>
      </c>
      <c r="E98">
        <v>19.149999999999999</v>
      </c>
      <c r="F98">
        <v>1</v>
      </c>
      <c r="G98">
        <v>0.95750000000000002</v>
      </c>
      <c r="H98">
        <v>20.107500000000002</v>
      </c>
      <c r="I98" s="1">
        <v>43493</v>
      </c>
      <c r="J98" s="1">
        <v>0.74861111111111112</v>
      </c>
      <c r="K98" t="s">
        <v>33</v>
      </c>
      <c r="L98">
        <v>19.149999999999999</v>
      </c>
      <c r="M98">
        <v>0.95750000000000002</v>
      </c>
      <c r="N98">
        <v>9.5</v>
      </c>
    </row>
    <row r="99" spans="1:14">
      <c r="A99" t="s">
        <v>931</v>
      </c>
      <c r="B99" t="s">
        <v>27</v>
      </c>
      <c r="C99" t="s">
        <v>1037</v>
      </c>
      <c r="D99" t="s">
        <v>22</v>
      </c>
      <c r="E99">
        <v>99.16</v>
      </c>
      <c r="F99">
        <v>8</v>
      </c>
      <c r="G99">
        <v>39.664000000000001</v>
      </c>
      <c r="H99">
        <v>832.94399999999996</v>
      </c>
      <c r="I99" s="1">
        <v>43493</v>
      </c>
      <c r="J99" s="1">
        <v>0.74097222222222225</v>
      </c>
      <c r="K99" t="s">
        <v>33</v>
      </c>
      <c r="L99">
        <v>793.28</v>
      </c>
      <c r="M99">
        <v>39.664000000000001</v>
      </c>
      <c r="N99">
        <v>4.2</v>
      </c>
    </row>
    <row r="100" spans="1:14">
      <c r="A100" t="s">
        <v>67</v>
      </c>
      <c r="B100" t="s">
        <v>20</v>
      </c>
      <c r="C100" t="s">
        <v>1037</v>
      </c>
      <c r="D100" t="s">
        <v>36</v>
      </c>
      <c r="E100">
        <v>78.069999999999993</v>
      </c>
      <c r="F100">
        <v>9</v>
      </c>
      <c r="G100">
        <v>35.131500000000003</v>
      </c>
      <c r="H100">
        <v>737.76149999999996</v>
      </c>
      <c r="I100" s="1">
        <v>43493</v>
      </c>
      <c r="J100" s="1">
        <v>0.52986111111111112</v>
      </c>
      <c r="K100" t="s">
        <v>29</v>
      </c>
      <c r="L100">
        <v>702.63</v>
      </c>
      <c r="M100">
        <v>35.131500000000003</v>
      </c>
      <c r="N100">
        <v>4.5</v>
      </c>
    </row>
    <row r="101" spans="1:14">
      <c r="A101" t="s">
        <v>543</v>
      </c>
      <c r="B101" t="s">
        <v>27</v>
      </c>
      <c r="C101" t="s">
        <v>1036</v>
      </c>
      <c r="D101" t="s">
        <v>44</v>
      </c>
      <c r="E101">
        <v>84.05</v>
      </c>
      <c r="F101">
        <v>6</v>
      </c>
      <c r="G101">
        <v>25.215</v>
      </c>
      <c r="H101">
        <v>529.51499999999999</v>
      </c>
      <c r="I101" s="1">
        <v>43494</v>
      </c>
      <c r="J101" s="1">
        <v>0.45</v>
      </c>
      <c r="K101" t="s">
        <v>33</v>
      </c>
      <c r="L101">
        <v>504.3</v>
      </c>
      <c r="M101">
        <v>25.215</v>
      </c>
      <c r="N101">
        <v>7.7</v>
      </c>
    </row>
    <row r="102" spans="1:14">
      <c r="A102" t="s">
        <v>291</v>
      </c>
      <c r="B102" t="s">
        <v>20</v>
      </c>
      <c r="C102" t="s">
        <v>1037</v>
      </c>
      <c r="D102" t="s">
        <v>46</v>
      </c>
      <c r="E102">
        <v>32.619999999999997</v>
      </c>
      <c r="F102">
        <v>4</v>
      </c>
      <c r="G102">
        <v>6.524</v>
      </c>
      <c r="H102">
        <v>137.00399999999999</v>
      </c>
      <c r="I102" s="1">
        <v>43494</v>
      </c>
      <c r="J102" s="1">
        <v>0.59166666666666667</v>
      </c>
      <c r="K102" t="s">
        <v>29</v>
      </c>
      <c r="L102">
        <v>130.47999999999999</v>
      </c>
      <c r="M102">
        <v>6.524</v>
      </c>
      <c r="N102">
        <v>9</v>
      </c>
    </row>
    <row r="103" spans="1:14">
      <c r="A103" t="s">
        <v>607</v>
      </c>
      <c r="B103" t="s">
        <v>20</v>
      </c>
      <c r="C103" t="s">
        <v>1037</v>
      </c>
      <c r="D103" t="s">
        <v>36</v>
      </c>
      <c r="E103">
        <v>26.67</v>
      </c>
      <c r="F103">
        <v>10</v>
      </c>
      <c r="G103">
        <v>13.335000000000001</v>
      </c>
      <c r="H103">
        <v>280.03500000000003</v>
      </c>
      <c r="I103" s="1">
        <v>43494</v>
      </c>
      <c r="J103" s="1">
        <v>0.49166666666666664</v>
      </c>
      <c r="K103" t="s">
        <v>29</v>
      </c>
      <c r="L103">
        <v>266.7</v>
      </c>
      <c r="M103">
        <v>13.335000000000001</v>
      </c>
      <c r="N103">
        <v>8.6</v>
      </c>
    </row>
    <row r="104" spans="1:14">
      <c r="A104" t="s">
        <v>415</v>
      </c>
      <c r="B104" t="s">
        <v>27</v>
      </c>
      <c r="C104" t="s">
        <v>1036</v>
      </c>
      <c r="D104" t="s">
        <v>28</v>
      </c>
      <c r="E104">
        <v>23.65</v>
      </c>
      <c r="F104">
        <v>4</v>
      </c>
      <c r="G104">
        <v>4.7300000000000004</v>
      </c>
      <c r="H104">
        <v>99.33</v>
      </c>
      <c r="I104" s="1">
        <v>43495</v>
      </c>
      <c r="J104" s="1">
        <v>0.56388888888888888</v>
      </c>
      <c r="K104" t="s">
        <v>33</v>
      </c>
      <c r="L104">
        <v>94.6</v>
      </c>
      <c r="M104">
        <v>4.7300000000000004</v>
      </c>
      <c r="N104">
        <v>4</v>
      </c>
    </row>
    <row r="105" spans="1:14">
      <c r="A105" t="s">
        <v>598</v>
      </c>
      <c r="B105" t="s">
        <v>27</v>
      </c>
      <c r="C105" t="s">
        <v>1036</v>
      </c>
      <c r="D105" t="s">
        <v>28</v>
      </c>
      <c r="E105">
        <v>42.42</v>
      </c>
      <c r="F105">
        <v>8</v>
      </c>
      <c r="G105">
        <v>16.968</v>
      </c>
      <c r="H105">
        <v>356.32799999999997</v>
      </c>
      <c r="I105" s="1">
        <v>43495</v>
      </c>
      <c r="J105" s="1">
        <v>0.58194444444444449</v>
      </c>
      <c r="K105" t="s">
        <v>23</v>
      </c>
      <c r="L105">
        <v>339.36</v>
      </c>
      <c r="M105">
        <v>16.968</v>
      </c>
      <c r="N105">
        <v>5.7</v>
      </c>
    </row>
    <row r="106" spans="1:14">
      <c r="A106" t="s">
        <v>797</v>
      </c>
      <c r="B106" t="s">
        <v>27</v>
      </c>
      <c r="C106" t="s">
        <v>1037</v>
      </c>
      <c r="D106" t="s">
        <v>28</v>
      </c>
      <c r="E106">
        <v>72.13</v>
      </c>
      <c r="F106">
        <v>10</v>
      </c>
      <c r="G106">
        <v>36.064999999999998</v>
      </c>
      <c r="H106">
        <v>757.36500000000001</v>
      </c>
      <c r="I106" s="1">
        <v>43496</v>
      </c>
      <c r="J106" s="1">
        <v>0.6333333333333333</v>
      </c>
      <c r="K106" t="s">
        <v>33</v>
      </c>
      <c r="L106">
        <v>721.3</v>
      </c>
      <c r="M106">
        <v>36.064999999999998</v>
      </c>
      <c r="N106">
        <v>4.2</v>
      </c>
    </row>
    <row r="107" spans="1:14">
      <c r="A107" t="s">
        <v>466</v>
      </c>
      <c r="B107" t="s">
        <v>27</v>
      </c>
      <c r="C107" t="s">
        <v>1037</v>
      </c>
      <c r="D107" t="s">
        <v>46</v>
      </c>
      <c r="E107">
        <v>69.08</v>
      </c>
      <c r="F107">
        <v>2</v>
      </c>
      <c r="G107">
        <v>6.9080000000000004</v>
      </c>
      <c r="H107">
        <v>145.06800000000001</v>
      </c>
      <c r="I107" s="1">
        <v>43496</v>
      </c>
      <c r="J107" s="1">
        <v>0.82499999999999996</v>
      </c>
      <c r="K107" t="s">
        <v>33</v>
      </c>
      <c r="L107">
        <v>138.16</v>
      </c>
      <c r="M107">
        <v>6.9080000000000004</v>
      </c>
      <c r="N107">
        <v>6.9</v>
      </c>
    </row>
    <row r="108" spans="1:14">
      <c r="A108" t="s">
        <v>421</v>
      </c>
      <c r="B108" t="s">
        <v>20</v>
      </c>
      <c r="C108" t="s">
        <v>1037</v>
      </c>
      <c r="D108" t="s">
        <v>36</v>
      </c>
      <c r="E108">
        <v>75.819999999999993</v>
      </c>
      <c r="F108">
        <v>1</v>
      </c>
      <c r="G108">
        <v>3.7909999999999999</v>
      </c>
      <c r="H108">
        <v>79.611000000000004</v>
      </c>
      <c r="I108" s="1">
        <v>43496</v>
      </c>
      <c r="J108" s="1">
        <v>0.55486111111111114</v>
      </c>
      <c r="K108" t="s">
        <v>29</v>
      </c>
      <c r="L108">
        <v>75.819999999999993</v>
      </c>
      <c r="M108">
        <v>3.7909999999999999</v>
      </c>
      <c r="N108">
        <v>5.8</v>
      </c>
    </row>
    <row r="109" spans="1:14">
      <c r="A109" t="s">
        <v>742</v>
      </c>
      <c r="B109" t="s">
        <v>27</v>
      </c>
      <c r="C109" t="s">
        <v>1036</v>
      </c>
      <c r="D109" t="s">
        <v>28</v>
      </c>
      <c r="E109">
        <v>43</v>
      </c>
      <c r="F109">
        <v>4</v>
      </c>
      <c r="G109">
        <v>8.6</v>
      </c>
      <c r="H109">
        <v>180.6</v>
      </c>
      <c r="I109" s="1">
        <v>43496</v>
      </c>
      <c r="J109" s="1">
        <v>0.8666666666666667</v>
      </c>
      <c r="K109" t="s">
        <v>23</v>
      </c>
      <c r="L109">
        <v>172</v>
      </c>
      <c r="M109">
        <v>8.6</v>
      </c>
      <c r="N109">
        <v>7.6</v>
      </c>
    </row>
    <row r="110" spans="1:14">
      <c r="A110" t="s">
        <v>815</v>
      </c>
      <c r="B110" t="s">
        <v>20</v>
      </c>
      <c r="C110" t="s">
        <v>1037</v>
      </c>
      <c r="D110" t="s">
        <v>28</v>
      </c>
      <c r="E110">
        <v>87.87</v>
      </c>
      <c r="F110">
        <v>9</v>
      </c>
      <c r="G110">
        <v>39.541499999999999</v>
      </c>
      <c r="H110">
        <v>830.37149999999997</v>
      </c>
      <c r="I110" s="1">
        <v>43496</v>
      </c>
      <c r="J110" s="1">
        <v>0.85555555555555551</v>
      </c>
      <c r="K110" t="s">
        <v>23</v>
      </c>
      <c r="L110">
        <v>790.83</v>
      </c>
      <c r="M110">
        <v>39.541499999999999</v>
      </c>
      <c r="N110">
        <v>5.6</v>
      </c>
    </row>
    <row r="111" spans="1:14">
      <c r="A111" t="s">
        <v>346</v>
      </c>
      <c r="B111" t="s">
        <v>20</v>
      </c>
      <c r="C111" t="s">
        <v>1037</v>
      </c>
      <c r="D111" t="s">
        <v>36</v>
      </c>
      <c r="E111">
        <v>79.930000000000007</v>
      </c>
      <c r="F111">
        <v>6</v>
      </c>
      <c r="G111">
        <v>23.978999999999999</v>
      </c>
      <c r="H111">
        <v>503.55900000000003</v>
      </c>
      <c r="I111" s="1">
        <v>43496</v>
      </c>
      <c r="J111" s="1">
        <v>0.58611111111111114</v>
      </c>
      <c r="K111" t="s">
        <v>29</v>
      </c>
      <c r="L111">
        <v>479.58</v>
      </c>
      <c r="M111">
        <v>23.978999999999999</v>
      </c>
      <c r="N111">
        <v>5.5</v>
      </c>
    </row>
    <row r="112" spans="1:14">
      <c r="A112" t="s">
        <v>256</v>
      </c>
      <c r="B112" t="s">
        <v>27</v>
      </c>
      <c r="C112" t="s">
        <v>1037</v>
      </c>
      <c r="D112" t="s">
        <v>28</v>
      </c>
      <c r="E112">
        <v>45.35</v>
      </c>
      <c r="F112">
        <v>6</v>
      </c>
      <c r="G112">
        <v>13.605</v>
      </c>
      <c r="H112">
        <v>285.70499999999998</v>
      </c>
      <c r="I112" s="1">
        <v>43496</v>
      </c>
      <c r="J112" s="1">
        <v>0.57222222222222219</v>
      </c>
      <c r="K112" t="s">
        <v>23</v>
      </c>
      <c r="L112">
        <v>272.10000000000002</v>
      </c>
      <c r="M112">
        <v>13.605</v>
      </c>
      <c r="N112">
        <v>6.1</v>
      </c>
    </row>
    <row r="113" spans="1:14">
      <c r="A113" t="s">
        <v>280</v>
      </c>
      <c r="B113" t="s">
        <v>27</v>
      </c>
      <c r="C113" t="s">
        <v>1037</v>
      </c>
      <c r="D113" t="s">
        <v>32</v>
      </c>
      <c r="E113">
        <v>93.87</v>
      </c>
      <c r="F113">
        <v>8</v>
      </c>
      <c r="G113">
        <v>37.548000000000002</v>
      </c>
      <c r="H113">
        <v>788.50800000000004</v>
      </c>
      <c r="I113" s="1">
        <v>43498</v>
      </c>
      <c r="J113" s="1">
        <v>0.77916666666666667</v>
      </c>
      <c r="K113" t="s">
        <v>33</v>
      </c>
      <c r="L113">
        <v>750.96</v>
      </c>
      <c r="M113">
        <v>37.548000000000002</v>
      </c>
      <c r="N113">
        <v>8.3000000000000007</v>
      </c>
    </row>
    <row r="114" spans="1:14">
      <c r="A114" t="s">
        <v>756</v>
      </c>
      <c r="B114" t="s">
        <v>27</v>
      </c>
      <c r="C114" t="s">
        <v>1036</v>
      </c>
      <c r="D114" t="s">
        <v>46</v>
      </c>
      <c r="E114">
        <v>25.56</v>
      </c>
      <c r="F114">
        <v>7</v>
      </c>
      <c r="G114">
        <v>8.9459999999999997</v>
      </c>
      <c r="H114">
        <v>187.86600000000001</v>
      </c>
      <c r="I114" s="1">
        <v>43498</v>
      </c>
      <c r="J114" s="1">
        <v>0.86250000000000004</v>
      </c>
      <c r="K114" t="s">
        <v>29</v>
      </c>
      <c r="L114">
        <v>178.92</v>
      </c>
      <c r="M114">
        <v>8.9459999999999997</v>
      </c>
      <c r="N114">
        <v>7.1</v>
      </c>
    </row>
    <row r="115" spans="1:14">
      <c r="A115" t="s">
        <v>286</v>
      </c>
      <c r="B115" t="s">
        <v>20</v>
      </c>
      <c r="C115" t="s">
        <v>1037</v>
      </c>
      <c r="D115" t="s">
        <v>44</v>
      </c>
      <c r="E115">
        <v>46.55</v>
      </c>
      <c r="F115">
        <v>9</v>
      </c>
      <c r="G115">
        <v>20.947500000000002</v>
      </c>
      <c r="H115">
        <v>439.89749999999998</v>
      </c>
      <c r="I115" s="1">
        <v>43498</v>
      </c>
      <c r="J115" s="1">
        <v>0.64861111111111114</v>
      </c>
      <c r="K115" t="s">
        <v>23</v>
      </c>
      <c r="L115">
        <v>418.95</v>
      </c>
      <c r="M115">
        <v>20.947500000000002</v>
      </c>
      <c r="N115">
        <v>6.4</v>
      </c>
    </row>
    <row r="116" spans="1:14">
      <c r="A116" t="s">
        <v>406</v>
      </c>
      <c r="B116" t="s">
        <v>20</v>
      </c>
      <c r="C116" t="s">
        <v>1036</v>
      </c>
      <c r="D116" t="s">
        <v>28</v>
      </c>
      <c r="E116">
        <v>26.26</v>
      </c>
      <c r="F116">
        <v>7</v>
      </c>
      <c r="G116">
        <v>9.1910000000000007</v>
      </c>
      <c r="H116">
        <v>193.011</v>
      </c>
      <c r="I116" s="1">
        <v>43498</v>
      </c>
      <c r="J116" s="1">
        <v>0.81944444444444442</v>
      </c>
      <c r="K116" t="s">
        <v>29</v>
      </c>
      <c r="L116">
        <v>183.82</v>
      </c>
      <c r="M116">
        <v>9.1910000000000007</v>
      </c>
      <c r="N116">
        <v>9.9</v>
      </c>
    </row>
    <row r="117" spans="1:14">
      <c r="A117" t="s">
        <v>98</v>
      </c>
      <c r="B117" t="s">
        <v>20</v>
      </c>
      <c r="C117" t="s">
        <v>1036</v>
      </c>
      <c r="D117" t="s">
        <v>36</v>
      </c>
      <c r="E117">
        <v>55.07</v>
      </c>
      <c r="F117">
        <v>9</v>
      </c>
      <c r="G117">
        <v>24.781500000000001</v>
      </c>
      <c r="H117">
        <v>520.41150000000005</v>
      </c>
      <c r="I117" s="1">
        <v>43499</v>
      </c>
      <c r="J117" s="1">
        <v>0.56944444444444442</v>
      </c>
      <c r="K117" t="s">
        <v>23</v>
      </c>
      <c r="L117">
        <v>495.63</v>
      </c>
      <c r="M117">
        <v>24.781500000000001</v>
      </c>
      <c r="N117">
        <v>10</v>
      </c>
    </row>
    <row r="118" spans="1:14">
      <c r="A118" t="s">
        <v>855</v>
      </c>
      <c r="B118" t="s">
        <v>20</v>
      </c>
      <c r="C118" t="s">
        <v>1037</v>
      </c>
      <c r="D118" t="s">
        <v>44</v>
      </c>
      <c r="E118">
        <v>47.16</v>
      </c>
      <c r="F118">
        <v>5</v>
      </c>
      <c r="G118">
        <v>11.79</v>
      </c>
      <c r="H118">
        <v>247.59</v>
      </c>
      <c r="I118" s="1">
        <v>43499</v>
      </c>
      <c r="J118" s="1">
        <v>0.60763888888888884</v>
      </c>
      <c r="K118" t="s">
        <v>33</v>
      </c>
      <c r="L118">
        <v>235.8</v>
      </c>
      <c r="M118">
        <v>11.79</v>
      </c>
      <c r="N118">
        <v>6</v>
      </c>
    </row>
    <row r="119" spans="1:14">
      <c r="A119" t="s">
        <v>983</v>
      </c>
      <c r="B119" t="s">
        <v>20</v>
      </c>
      <c r="C119" t="s">
        <v>1037</v>
      </c>
      <c r="D119" t="s">
        <v>46</v>
      </c>
      <c r="E119">
        <v>53.78</v>
      </c>
      <c r="F119">
        <v>1</v>
      </c>
      <c r="G119">
        <v>2.6890000000000001</v>
      </c>
      <c r="H119">
        <v>56.469000000000001</v>
      </c>
      <c r="I119" s="1">
        <v>43499</v>
      </c>
      <c r="J119" s="1">
        <v>0.84236111111111112</v>
      </c>
      <c r="K119" t="s">
        <v>23</v>
      </c>
      <c r="L119">
        <v>53.78</v>
      </c>
      <c r="M119">
        <v>2.6890000000000001</v>
      </c>
      <c r="N119">
        <v>4.7</v>
      </c>
    </row>
    <row r="120" spans="1:14">
      <c r="A120" t="s">
        <v>696</v>
      </c>
      <c r="B120" t="s">
        <v>27</v>
      </c>
      <c r="C120" t="s">
        <v>1036</v>
      </c>
      <c r="D120" t="s">
        <v>36</v>
      </c>
      <c r="E120">
        <v>42.97</v>
      </c>
      <c r="F120">
        <v>3</v>
      </c>
      <c r="G120">
        <v>6.4455</v>
      </c>
      <c r="H120">
        <v>135.35550000000001</v>
      </c>
      <c r="I120" s="1">
        <v>43499</v>
      </c>
      <c r="J120" s="1">
        <v>0.49027777777777776</v>
      </c>
      <c r="K120" t="s">
        <v>29</v>
      </c>
      <c r="L120">
        <v>128.91</v>
      </c>
      <c r="M120">
        <v>6.4455</v>
      </c>
      <c r="N120">
        <v>9.3000000000000007</v>
      </c>
    </row>
    <row r="121" spans="1:14">
      <c r="A121" t="s">
        <v>536</v>
      </c>
      <c r="B121" t="s">
        <v>20</v>
      </c>
      <c r="C121" t="s">
        <v>1037</v>
      </c>
      <c r="D121" t="s">
        <v>36</v>
      </c>
      <c r="E121">
        <v>73.97</v>
      </c>
      <c r="F121">
        <v>1</v>
      </c>
      <c r="G121">
        <v>3.6985000000000001</v>
      </c>
      <c r="H121">
        <v>77.668499999999995</v>
      </c>
      <c r="I121" s="1">
        <v>43499</v>
      </c>
      <c r="J121" s="1">
        <v>0.66180555555555554</v>
      </c>
      <c r="K121" t="s">
        <v>33</v>
      </c>
      <c r="L121">
        <v>73.97</v>
      </c>
      <c r="M121">
        <v>3.6985000000000001</v>
      </c>
      <c r="N121">
        <v>5.4</v>
      </c>
    </row>
    <row r="122" spans="1:14">
      <c r="A122" t="s">
        <v>760</v>
      </c>
      <c r="B122" t="s">
        <v>20</v>
      </c>
      <c r="C122" t="s">
        <v>1037</v>
      </c>
      <c r="D122" t="s">
        <v>44</v>
      </c>
      <c r="E122">
        <v>23.34</v>
      </c>
      <c r="F122">
        <v>4</v>
      </c>
      <c r="G122">
        <v>4.6680000000000001</v>
      </c>
      <c r="H122">
        <v>98.028000000000006</v>
      </c>
      <c r="I122" s="1">
        <v>43500</v>
      </c>
      <c r="J122" s="1">
        <v>0.78680555555555554</v>
      </c>
      <c r="K122" t="s">
        <v>23</v>
      </c>
      <c r="L122">
        <v>93.36</v>
      </c>
      <c r="M122">
        <v>4.6680000000000001</v>
      </c>
      <c r="N122">
        <v>7.4</v>
      </c>
    </row>
    <row r="123" spans="1:14">
      <c r="A123" t="s">
        <v>592</v>
      </c>
      <c r="B123" t="s">
        <v>20</v>
      </c>
      <c r="C123" t="s">
        <v>1036</v>
      </c>
      <c r="D123" t="s">
        <v>46</v>
      </c>
      <c r="E123">
        <v>72.040000000000006</v>
      </c>
      <c r="F123">
        <v>2</v>
      </c>
      <c r="G123">
        <v>7.2039999999999997</v>
      </c>
      <c r="H123">
        <v>151.28399999999999</v>
      </c>
      <c r="I123" s="1">
        <v>43500</v>
      </c>
      <c r="J123" s="1">
        <v>0.81805555555555554</v>
      </c>
      <c r="K123" t="s">
        <v>29</v>
      </c>
      <c r="L123">
        <v>144.08000000000001</v>
      </c>
      <c r="M123">
        <v>7.2039999999999997</v>
      </c>
      <c r="N123">
        <v>9.5</v>
      </c>
    </row>
    <row r="124" spans="1:14">
      <c r="A124" t="s">
        <v>1015</v>
      </c>
      <c r="B124" t="s">
        <v>27</v>
      </c>
      <c r="C124" t="s">
        <v>1036</v>
      </c>
      <c r="D124" t="s">
        <v>44</v>
      </c>
      <c r="E124">
        <v>67.77</v>
      </c>
      <c r="F124">
        <v>1</v>
      </c>
      <c r="G124">
        <v>3.3885000000000001</v>
      </c>
      <c r="H124">
        <v>71.158500000000004</v>
      </c>
      <c r="I124" s="1">
        <v>43500</v>
      </c>
      <c r="J124" s="1">
        <v>0.86319444444444449</v>
      </c>
      <c r="K124" t="s">
        <v>33</v>
      </c>
      <c r="L124">
        <v>67.77</v>
      </c>
      <c r="M124">
        <v>3.3885000000000001</v>
      </c>
      <c r="N124">
        <v>6.5</v>
      </c>
    </row>
    <row r="125" spans="1:14">
      <c r="A125" t="s">
        <v>525</v>
      </c>
      <c r="B125" t="s">
        <v>20</v>
      </c>
      <c r="C125" t="s">
        <v>1036</v>
      </c>
      <c r="D125" t="s">
        <v>32</v>
      </c>
      <c r="E125">
        <v>77.680000000000007</v>
      </c>
      <c r="F125">
        <v>9</v>
      </c>
      <c r="G125">
        <v>34.956000000000003</v>
      </c>
      <c r="H125">
        <v>734.07600000000002</v>
      </c>
      <c r="I125" s="1">
        <v>43500</v>
      </c>
      <c r="J125" s="1">
        <v>0.55625000000000002</v>
      </c>
      <c r="K125" t="s">
        <v>23</v>
      </c>
      <c r="L125">
        <v>699.12</v>
      </c>
      <c r="M125">
        <v>34.956000000000003</v>
      </c>
      <c r="N125">
        <v>9.8000000000000007</v>
      </c>
    </row>
    <row r="126" spans="1:14">
      <c r="A126" t="s">
        <v>375</v>
      </c>
      <c r="B126" t="s">
        <v>20</v>
      </c>
      <c r="C126" t="s">
        <v>1036</v>
      </c>
      <c r="D126" t="s">
        <v>44</v>
      </c>
      <c r="E126">
        <v>42.82</v>
      </c>
      <c r="F126">
        <v>9</v>
      </c>
      <c r="G126">
        <v>19.268999999999998</v>
      </c>
      <c r="H126">
        <v>404.649</v>
      </c>
      <c r="I126" s="1">
        <v>43501</v>
      </c>
      <c r="J126" s="1">
        <v>0.6430555555555556</v>
      </c>
      <c r="K126" t="s">
        <v>33</v>
      </c>
      <c r="L126">
        <v>385.38</v>
      </c>
      <c r="M126">
        <v>19.268999999999998</v>
      </c>
      <c r="N126">
        <v>8.9</v>
      </c>
    </row>
    <row r="127" spans="1:14">
      <c r="A127" t="s">
        <v>146</v>
      </c>
      <c r="B127" t="s">
        <v>20</v>
      </c>
      <c r="C127" t="s">
        <v>1036</v>
      </c>
      <c r="D127" t="s">
        <v>36</v>
      </c>
      <c r="E127">
        <v>16.489999999999998</v>
      </c>
      <c r="F127">
        <v>2</v>
      </c>
      <c r="G127">
        <v>1.649</v>
      </c>
      <c r="H127">
        <v>34.628999999999998</v>
      </c>
      <c r="I127" s="1">
        <v>43501</v>
      </c>
      <c r="J127" s="1">
        <v>0.48055555555555557</v>
      </c>
      <c r="K127" t="s">
        <v>23</v>
      </c>
      <c r="L127">
        <v>32.979999999999997</v>
      </c>
      <c r="M127">
        <v>1.649</v>
      </c>
      <c r="N127">
        <v>4.5999999999999996</v>
      </c>
    </row>
    <row r="128" spans="1:14">
      <c r="A128" t="s">
        <v>588</v>
      </c>
      <c r="B128" t="s">
        <v>27</v>
      </c>
      <c r="C128" t="s">
        <v>1036</v>
      </c>
      <c r="D128" t="s">
        <v>22</v>
      </c>
      <c r="E128">
        <v>58.24</v>
      </c>
      <c r="F128">
        <v>9</v>
      </c>
      <c r="G128">
        <v>26.207999999999998</v>
      </c>
      <c r="H128">
        <v>550.36800000000005</v>
      </c>
      <c r="I128" s="1">
        <v>43501</v>
      </c>
      <c r="J128" s="1">
        <v>0.52361111111111114</v>
      </c>
      <c r="K128" t="s">
        <v>29</v>
      </c>
      <c r="L128">
        <v>524.16</v>
      </c>
      <c r="M128">
        <v>26.207999999999998</v>
      </c>
      <c r="N128">
        <v>9.6999999999999993</v>
      </c>
    </row>
    <row r="129" spans="1:14">
      <c r="A129" t="s">
        <v>930</v>
      </c>
      <c r="B129" t="s">
        <v>20</v>
      </c>
      <c r="C129" t="s">
        <v>1037</v>
      </c>
      <c r="D129" t="s">
        <v>28</v>
      </c>
      <c r="E129">
        <v>50.45</v>
      </c>
      <c r="F129">
        <v>6</v>
      </c>
      <c r="G129">
        <v>15.135</v>
      </c>
      <c r="H129">
        <v>317.83499999999998</v>
      </c>
      <c r="I129" s="1">
        <v>43502</v>
      </c>
      <c r="J129" s="1">
        <v>0.63611111111111107</v>
      </c>
      <c r="K129" t="s">
        <v>33</v>
      </c>
      <c r="L129">
        <v>302.7</v>
      </c>
      <c r="M129">
        <v>15.135</v>
      </c>
      <c r="N129">
        <v>8.9</v>
      </c>
    </row>
    <row r="130" spans="1:14">
      <c r="A130" t="s">
        <v>45</v>
      </c>
      <c r="B130" t="s">
        <v>20</v>
      </c>
      <c r="C130" t="s">
        <v>1036</v>
      </c>
      <c r="D130" t="s">
        <v>46</v>
      </c>
      <c r="E130">
        <v>14.48</v>
      </c>
      <c r="F130">
        <v>4</v>
      </c>
      <c r="G130">
        <v>2.8959999999999999</v>
      </c>
      <c r="H130">
        <v>60.816000000000003</v>
      </c>
      <c r="I130" s="1">
        <v>43502</v>
      </c>
      <c r="J130" s="1">
        <v>0.75486111111111109</v>
      </c>
      <c r="K130" t="s">
        <v>23</v>
      </c>
      <c r="L130">
        <v>57.92</v>
      </c>
      <c r="M130">
        <v>2.8959999999999999</v>
      </c>
      <c r="N130">
        <v>4.5</v>
      </c>
    </row>
    <row r="131" spans="1:14">
      <c r="A131" t="s">
        <v>83</v>
      </c>
      <c r="B131" t="s">
        <v>20</v>
      </c>
      <c r="C131" t="s">
        <v>1036</v>
      </c>
      <c r="D131" t="s">
        <v>44</v>
      </c>
      <c r="E131">
        <v>20.010000000000002</v>
      </c>
      <c r="F131">
        <v>9</v>
      </c>
      <c r="G131">
        <v>9.0045000000000002</v>
      </c>
      <c r="H131">
        <v>189.09450000000001</v>
      </c>
      <c r="I131" s="1">
        <v>43502</v>
      </c>
      <c r="J131" s="1">
        <v>0.65763888888888888</v>
      </c>
      <c r="K131" t="s">
        <v>23</v>
      </c>
      <c r="L131">
        <v>180.09</v>
      </c>
      <c r="M131">
        <v>9.0045000000000002</v>
      </c>
      <c r="N131">
        <v>4.0999999999999996</v>
      </c>
    </row>
    <row r="132" spans="1:14">
      <c r="A132" t="s">
        <v>568</v>
      </c>
      <c r="B132" t="s">
        <v>27</v>
      </c>
      <c r="C132" t="s">
        <v>1037</v>
      </c>
      <c r="D132" t="s">
        <v>28</v>
      </c>
      <c r="E132">
        <v>22.95</v>
      </c>
      <c r="F132">
        <v>10</v>
      </c>
      <c r="G132">
        <v>11.475</v>
      </c>
      <c r="H132">
        <v>240.97499999999999</v>
      </c>
      <c r="I132" s="1">
        <v>43502</v>
      </c>
      <c r="J132" s="1">
        <v>0.80555555555555558</v>
      </c>
      <c r="K132" t="s">
        <v>23</v>
      </c>
      <c r="L132">
        <v>229.5</v>
      </c>
      <c r="M132">
        <v>11.475</v>
      </c>
      <c r="N132">
        <v>8.1999999999999993</v>
      </c>
    </row>
    <row r="133" spans="1:14">
      <c r="A133" t="s">
        <v>239</v>
      </c>
      <c r="B133" t="s">
        <v>20</v>
      </c>
      <c r="C133" t="s">
        <v>1037</v>
      </c>
      <c r="D133" t="s">
        <v>22</v>
      </c>
      <c r="E133">
        <v>25.9</v>
      </c>
      <c r="F133">
        <v>10</v>
      </c>
      <c r="G133">
        <v>12.95</v>
      </c>
      <c r="H133">
        <v>271.95</v>
      </c>
      <c r="I133" s="1">
        <v>43502</v>
      </c>
      <c r="J133" s="1">
        <v>0.61875000000000002</v>
      </c>
      <c r="K133" t="s">
        <v>23</v>
      </c>
      <c r="L133">
        <v>259</v>
      </c>
      <c r="M133">
        <v>12.95</v>
      </c>
      <c r="N133">
        <v>8.6999999999999993</v>
      </c>
    </row>
    <row r="134" spans="1:14">
      <c r="A134" t="s">
        <v>993</v>
      </c>
      <c r="B134" t="s">
        <v>27</v>
      </c>
      <c r="C134" t="s">
        <v>1037</v>
      </c>
      <c r="D134" t="s">
        <v>28</v>
      </c>
      <c r="E134">
        <v>46.02</v>
      </c>
      <c r="F134">
        <v>6</v>
      </c>
      <c r="G134">
        <v>13.805999999999999</v>
      </c>
      <c r="H134">
        <v>289.92599999999999</v>
      </c>
      <c r="I134" s="1">
        <v>43503</v>
      </c>
      <c r="J134" s="1">
        <v>0.66319444444444442</v>
      </c>
      <c r="K134" t="s">
        <v>29</v>
      </c>
      <c r="L134">
        <v>276.12</v>
      </c>
      <c r="M134">
        <v>13.805999999999999</v>
      </c>
      <c r="N134">
        <v>7.1</v>
      </c>
    </row>
    <row r="135" spans="1:14">
      <c r="A135" t="s">
        <v>493</v>
      </c>
      <c r="B135" t="s">
        <v>27</v>
      </c>
      <c r="C135" t="s">
        <v>1037</v>
      </c>
      <c r="D135" t="s">
        <v>28</v>
      </c>
      <c r="E135">
        <v>79.39</v>
      </c>
      <c r="F135">
        <v>10</v>
      </c>
      <c r="G135">
        <v>39.695</v>
      </c>
      <c r="H135">
        <v>833.59500000000003</v>
      </c>
      <c r="I135" s="1">
        <v>43503</v>
      </c>
      <c r="J135" s="1">
        <v>0.85</v>
      </c>
      <c r="K135" t="s">
        <v>29</v>
      </c>
      <c r="L135">
        <v>793.9</v>
      </c>
      <c r="M135">
        <v>39.695</v>
      </c>
      <c r="N135">
        <v>6.2</v>
      </c>
    </row>
    <row r="136" spans="1:14">
      <c r="A136" t="s">
        <v>564</v>
      </c>
      <c r="B136" t="s">
        <v>20</v>
      </c>
      <c r="C136" t="s">
        <v>1036</v>
      </c>
      <c r="D136" t="s">
        <v>44</v>
      </c>
      <c r="E136">
        <v>54.36</v>
      </c>
      <c r="F136">
        <v>10</v>
      </c>
      <c r="G136">
        <v>27.18</v>
      </c>
      <c r="H136">
        <v>570.78</v>
      </c>
      <c r="I136" s="1">
        <v>43503</v>
      </c>
      <c r="J136" s="1">
        <v>0.4777777777777778</v>
      </c>
      <c r="K136" t="s">
        <v>33</v>
      </c>
      <c r="L136">
        <v>543.6</v>
      </c>
      <c r="M136">
        <v>27.18</v>
      </c>
      <c r="N136">
        <v>6.1</v>
      </c>
    </row>
    <row r="137" spans="1:14">
      <c r="A137" t="s">
        <v>366</v>
      </c>
      <c r="B137" t="s">
        <v>27</v>
      </c>
      <c r="C137" t="s">
        <v>1037</v>
      </c>
      <c r="D137" t="s">
        <v>32</v>
      </c>
      <c r="E137">
        <v>22.02</v>
      </c>
      <c r="F137">
        <v>9</v>
      </c>
      <c r="G137">
        <v>9.9090000000000007</v>
      </c>
      <c r="H137">
        <v>208.089</v>
      </c>
      <c r="I137" s="1">
        <v>43503</v>
      </c>
      <c r="J137" s="1">
        <v>0.78333333333333333</v>
      </c>
      <c r="K137" t="s">
        <v>29</v>
      </c>
      <c r="L137">
        <v>198.18</v>
      </c>
      <c r="M137">
        <v>9.9090000000000007</v>
      </c>
      <c r="N137">
        <v>6.8</v>
      </c>
    </row>
    <row r="138" spans="1:14">
      <c r="A138" t="s">
        <v>1021</v>
      </c>
      <c r="B138" t="s">
        <v>27</v>
      </c>
      <c r="C138" t="s">
        <v>1036</v>
      </c>
      <c r="D138" t="s">
        <v>46</v>
      </c>
      <c r="E138">
        <v>63.71</v>
      </c>
      <c r="F138">
        <v>5</v>
      </c>
      <c r="G138">
        <v>15.9275</v>
      </c>
      <c r="H138">
        <v>334.47750000000002</v>
      </c>
      <c r="I138" s="1">
        <v>43503</v>
      </c>
      <c r="J138" s="1">
        <v>0.8125</v>
      </c>
      <c r="K138" t="s">
        <v>23</v>
      </c>
      <c r="L138">
        <v>318.55</v>
      </c>
      <c r="M138">
        <v>15.9275</v>
      </c>
      <c r="N138">
        <v>8.5</v>
      </c>
    </row>
    <row r="139" spans="1:14">
      <c r="A139" t="s">
        <v>927</v>
      </c>
      <c r="B139" t="s">
        <v>27</v>
      </c>
      <c r="C139" t="s">
        <v>1036</v>
      </c>
      <c r="D139" t="s">
        <v>28</v>
      </c>
      <c r="E139">
        <v>57.91</v>
      </c>
      <c r="F139">
        <v>8</v>
      </c>
      <c r="G139">
        <v>23.164000000000001</v>
      </c>
      <c r="H139">
        <v>486.44400000000002</v>
      </c>
      <c r="I139" s="1">
        <v>43503</v>
      </c>
      <c r="J139" s="1">
        <v>0.62916666666666665</v>
      </c>
      <c r="K139" t="s">
        <v>29</v>
      </c>
      <c r="L139">
        <v>463.28</v>
      </c>
      <c r="M139">
        <v>23.164000000000001</v>
      </c>
      <c r="N139">
        <v>8.1</v>
      </c>
    </row>
    <row r="140" spans="1:14">
      <c r="A140" t="s">
        <v>641</v>
      </c>
      <c r="B140" t="s">
        <v>27</v>
      </c>
      <c r="C140" t="s">
        <v>1037</v>
      </c>
      <c r="D140" t="s">
        <v>32</v>
      </c>
      <c r="E140">
        <v>31.75</v>
      </c>
      <c r="F140">
        <v>4</v>
      </c>
      <c r="G140">
        <v>6.35</v>
      </c>
      <c r="H140">
        <v>133.35</v>
      </c>
      <c r="I140" s="1">
        <v>43504</v>
      </c>
      <c r="J140" s="1">
        <v>0.6430555555555556</v>
      </c>
      <c r="K140" t="s">
        <v>29</v>
      </c>
      <c r="L140">
        <v>127</v>
      </c>
      <c r="M140">
        <v>6.35</v>
      </c>
      <c r="N140">
        <v>8.6</v>
      </c>
    </row>
    <row r="141" spans="1:14">
      <c r="A141" t="s">
        <v>62</v>
      </c>
      <c r="B141" t="s">
        <v>27</v>
      </c>
      <c r="C141" t="s">
        <v>1037</v>
      </c>
      <c r="D141" t="s">
        <v>46</v>
      </c>
      <c r="E141">
        <v>33.520000000000003</v>
      </c>
      <c r="F141">
        <v>1</v>
      </c>
      <c r="G141">
        <v>1.6759999999999999</v>
      </c>
      <c r="H141">
        <v>35.195999999999998</v>
      </c>
      <c r="I141" s="1">
        <v>43504</v>
      </c>
      <c r="J141" s="1">
        <v>0.64652777777777781</v>
      </c>
      <c r="K141" t="s">
        <v>29</v>
      </c>
      <c r="L141">
        <v>33.520000000000003</v>
      </c>
      <c r="M141">
        <v>1.6759999999999999</v>
      </c>
      <c r="N141">
        <v>6.7</v>
      </c>
    </row>
    <row r="142" spans="1:14">
      <c r="A142" t="s">
        <v>78</v>
      </c>
      <c r="B142" t="s">
        <v>20</v>
      </c>
      <c r="C142" t="s">
        <v>1036</v>
      </c>
      <c r="D142" t="s">
        <v>36</v>
      </c>
      <c r="E142">
        <v>69.12</v>
      </c>
      <c r="F142">
        <v>6</v>
      </c>
      <c r="G142">
        <v>20.736000000000001</v>
      </c>
      <c r="H142">
        <v>435.45600000000002</v>
      </c>
      <c r="I142" s="1">
        <v>43504</v>
      </c>
      <c r="J142" s="1">
        <v>0.54374999999999996</v>
      </c>
      <c r="K142" t="s">
        <v>29</v>
      </c>
      <c r="L142">
        <v>414.72</v>
      </c>
      <c r="M142">
        <v>20.736000000000001</v>
      </c>
      <c r="N142">
        <v>5.6</v>
      </c>
    </row>
    <row r="143" spans="1:14">
      <c r="A143" t="s">
        <v>223</v>
      </c>
      <c r="B143" t="s">
        <v>20</v>
      </c>
      <c r="C143" t="s">
        <v>1037</v>
      </c>
      <c r="D143" t="s">
        <v>32</v>
      </c>
      <c r="E143">
        <v>46.47</v>
      </c>
      <c r="F143">
        <v>4</v>
      </c>
      <c r="G143">
        <v>9.2940000000000005</v>
      </c>
      <c r="H143">
        <v>195.17400000000001</v>
      </c>
      <c r="I143" s="1">
        <v>43504</v>
      </c>
      <c r="J143" s="1">
        <v>0.45347222222222222</v>
      </c>
      <c r="K143" t="s">
        <v>29</v>
      </c>
      <c r="L143">
        <v>185.88</v>
      </c>
      <c r="M143">
        <v>9.2940000000000005</v>
      </c>
      <c r="N143">
        <v>7</v>
      </c>
    </row>
    <row r="144" spans="1:14">
      <c r="A144" t="s">
        <v>957</v>
      </c>
      <c r="B144" t="s">
        <v>27</v>
      </c>
      <c r="C144" t="s">
        <v>1036</v>
      </c>
      <c r="D144" t="s">
        <v>32</v>
      </c>
      <c r="E144">
        <v>16.37</v>
      </c>
      <c r="F144">
        <v>6</v>
      </c>
      <c r="G144">
        <v>4.9109999999999996</v>
      </c>
      <c r="H144">
        <v>103.131</v>
      </c>
      <c r="I144" s="1">
        <v>43504</v>
      </c>
      <c r="J144" s="1">
        <v>0.45694444444444443</v>
      </c>
      <c r="K144" t="s">
        <v>29</v>
      </c>
      <c r="L144">
        <v>98.22</v>
      </c>
      <c r="M144">
        <v>4.9109999999999996</v>
      </c>
      <c r="N144">
        <v>7</v>
      </c>
    </row>
    <row r="145" spans="1:14">
      <c r="A145" t="s">
        <v>165</v>
      </c>
      <c r="B145" t="s">
        <v>27</v>
      </c>
      <c r="C145" t="s">
        <v>1036</v>
      </c>
      <c r="D145" t="s">
        <v>36</v>
      </c>
      <c r="E145">
        <v>90.28</v>
      </c>
      <c r="F145">
        <v>9</v>
      </c>
      <c r="G145">
        <v>40.625999999999998</v>
      </c>
      <c r="H145">
        <v>853.14599999999996</v>
      </c>
      <c r="I145" s="1">
        <v>43504</v>
      </c>
      <c r="J145" s="1">
        <v>0.46875</v>
      </c>
      <c r="K145" t="s">
        <v>23</v>
      </c>
      <c r="L145">
        <v>812.52</v>
      </c>
      <c r="M145">
        <v>40.625999999999998</v>
      </c>
      <c r="N145">
        <v>7.2</v>
      </c>
    </row>
    <row r="146" spans="1:14">
      <c r="A146" t="s">
        <v>990</v>
      </c>
      <c r="B146" t="s">
        <v>20</v>
      </c>
      <c r="C146" t="s">
        <v>1037</v>
      </c>
      <c r="D146" t="s">
        <v>32</v>
      </c>
      <c r="E146">
        <v>65.91</v>
      </c>
      <c r="F146">
        <v>6</v>
      </c>
      <c r="G146">
        <v>19.773</v>
      </c>
      <c r="H146">
        <v>415.233</v>
      </c>
      <c r="I146" s="1">
        <v>43505</v>
      </c>
      <c r="J146" s="1">
        <v>0.48958333333333331</v>
      </c>
      <c r="K146" t="s">
        <v>29</v>
      </c>
      <c r="L146">
        <v>395.46</v>
      </c>
      <c r="M146">
        <v>19.773</v>
      </c>
      <c r="N146">
        <v>5.7</v>
      </c>
    </row>
    <row r="147" spans="1:14">
      <c r="A147" t="s">
        <v>937</v>
      </c>
      <c r="B147" t="s">
        <v>27</v>
      </c>
      <c r="C147" t="s">
        <v>1037</v>
      </c>
      <c r="D147" t="s">
        <v>32</v>
      </c>
      <c r="E147">
        <v>45.97</v>
      </c>
      <c r="F147">
        <v>4</v>
      </c>
      <c r="G147">
        <v>9.1940000000000008</v>
      </c>
      <c r="H147">
        <v>193.07400000000001</v>
      </c>
      <c r="I147" s="1">
        <v>43505</v>
      </c>
      <c r="J147" s="1">
        <v>0.50138888888888888</v>
      </c>
      <c r="K147" t="s">
        <v>23</v>
      </c>
      <c r="L147">
        <v>183.88</v>
      </c>
      <c r="M147">
        <v>9.1940000000000008</v>
      </c>
      <c r="N147">
        <v>5.0999999999999996</v>
      </c>
    </row>
    <row r="148" spans="1:14">
      <c r="A148" t="s">
        <v>586</v>
      </c>
      <c r="B148" t="s">
        <v>27</v>
      </c>
      <c r="C148" t="s">
        <v>1037</v>
      </c>
      <c r="D148" t="s">
        <v>46</v>
      </c>
      <c r="E148">
        <v>57.27</v>
      </c>
      <c r="F148">
        <v>3</v>
      </c>
      <c r="G148">
        <v>8.5905000000000005</v>
      </c>
      <c r="H148">
        <v>180.40049999999999</v>
      </c>
      <c r="I148" s="1">
        <v>43505</v>
      </c>
      <c r="J148" s="1">
        <v>0.85486111111111107</v>
      </c>
      <c r="K148" t="s">
        <v>23</v>
      </c>
      <c r="L148">
        <v>171.81</v>
      </c>
      <c r="M148">
        <v>8.5905000000000005</v>
      </c>
      <c r="N148">
        <v>6.5</v>
      </c>
    </row>
    <row r="149" spans="1:14">
      <c r="A149" t="s">
        <v>282</v>
      </c>
      <c r="B149" t="s">
        <v>20</v>
      </c>
      <c r="C149" t="s">
        <v>1036</v>
      </c>
      <c r="D149" t="s">
        <v>28</v>
      </c>
      <c r="E149">
        <v>81.400000000000006</v>
      </c>
      <c r="F149">
        <v>3</v>
      </c>
      <c r="G149">
        <v>12.21</v>
      </c>
      <c r="H149">
        <v>256.41000000000003</v>
      </c>
      <c r="I149" s="1">
        <v>43505</v>
      </c>
      <c r="J149" s="1">
        <v>0.82152777777777775</v>
      </c>
      <c r="K149" t="s">
        <v>29</v>
      </c>
      <c r="L149">
        <v>244.2</v>
      </c>
      <c r="M149">
        <v>12.21</v>
      </c>
      <c r="N149">
        <v>4.8</v>
      </c>
    </row>
    <row r="150" spans="1:14">
      <c r="A150" t="s">
        <v>1007</v>
      </c>
      <c r="B150" t="s">
        <v>20</v>
      </c>
      <c r="C150" t="s">
        <v>1037</v>
      </c>
      <c r="D150" t="s">
        <v>32</v>
      </c>
      <c r="E150">
        <v>36.909999999999997</v>
      </c>
      <c r="F150">
        <v>7</v>
      </c>
      <c r="G150">
        <v>12.9185</v>
      </c>
      <c r="H150">
        <v>271.2885</v>
      </c>
      <c r="I150" s="1">
        <v>43506</v>
      </c>
      <c r="J150" s="1">
        <v>0.57708333333333328</v>
      </c>
      <c r="K150" t="s">
        <v>23</v>
      </c>
      <c r="L150">
        <v>258.37</v>
      </c>
      <c r="M150">
        <v>12.9185</v>
      </c>
      <c r="N150">
        <v>6.7</v>
      </c>
    </row>
    <row r="151" spans="1:14">
      <c r="A151" t="s">
        <v>168</v>
      </c>
      <c r="B151" t="s">
        <v>27</v>
      </c>
      <c r="C151" t="s">
        <v>1036</v>
      </c>
      <c r="D151" t="s">
        <v>36</v>
      </c>
      <c r="E151">
        <v>34.840000000000003</v>
      </c>
      <c r="F151">
        <v>4</v>
      </c>
      <c r="G151">
        <v>6.968</v>
      </c>
      <c r="H151">
        <v>146.328</v>
      </c>
      <c r="I151" s="1">
        <v>43506</v>
      </c>
      <c r="J151" s="1">
        <v>0.77500000000000002</v>
      </c>
      <c r="K151" t="s">
        <v>29</v>
      </c>
      <c r="L151">
        <v>139.36000000000001</v>
      </c>
      <c r="M151">
        <v>6.968</v>
      </c>
      <c r="N151">
        <v>7.4</v>
      </c>
    </row>
    <row r="152" spans="1:14">
      <c r="A152" t="s">
        <v>376</v>
      </c>
      <c r="B152" t="s">
        <v>20</v>
      </c>
      <c r="C152" t="s">
        <v>1037</v>
      </c>
      <c r="D152" t="s">
        <v>28</v>
      </c>
      <c r="E152">
        <v>48.09</v>
      </c>
      <c r="F152">
        <v>3</v>
      </c>
      <c r="G152">
        <v>7.2134999999999998</v>
      </c>
      <c r="H152">
        <v>151.48349999999999</v>
      </c>
      <c r="I152" s="1">
        <v>43506</v>
      </c>
      <c r="J152" s="1">
        <v>0.76597222222222228</v>
      </c>
      <c r="K152" t="s">
        <v>33</v>
      </c>
      <c r="L152">
        <v>144.27000000000001</v>
      </c>
      <c r="M152">
        <v>7.2134999999999998</v>
      </c>
      <c r="N152">
        <v>7.8</v>
      </c>
    </row>
    <row r="153" spans="1:14">
      <c r="A153" t="s">
        <v>84</v>
      </c>
      <c r="B153" t="s">
        <v>20</v>
      </c>
      <c r="C153" t="s">
        <v>1037</v>
      </c>
      <c r="D153" t="s">
        <v>28</v>
      </c>
      <c r="E153">
        <v>18.93</v>
      </c>
      <c r="F153">
        <v>6</v>
      </c>
      <c r="G153">
        <v>5.6790000000000003</v>
      </c>
      <c r="H153">
        <v>119.259</v>
      </c>
      <c r="I153" s="1">
        <v>43506</v>
      </c>
      <c r="J153" s="1">
        <v>0.53125</v>
      </c>
      <c r="K153" t="s">
        <v>33</v>
      </c>
      <c r="L153">
        <v>113.58</v>
      </c>
      <c r="M153">
        <v>5.6790000000000003</v>
      </c>
      <c r="N153">
        <v>8.1</v>
      </c>
    </row>
    <row r="154" spans="1:14">
      <c r="A154" t="s">
        <v>268</v>
      </c>
      <c r="B154" t="s">
        <v>27</v>
      </c>
      <c r="C154" t="s">
        <v>1036</v>
      </c>
      <c r="D154" t="s">
        <v>22</v>
      </c>
      <c r="E154">
        <v>84.09</v>
      </c>
      <c r="F154">
        <v>9</v>
      </c>
      <c r="G154">
        <v>37.840499999999999</v>
      </c>
      <c r="H154">
        <v>794.65049999999997</v>
      </c>
      <c r="I154" s="1">
        <v>43507</v>
      </c>
      <c r="J154" s="1">
        <v>0.45416666666666666</v>
      </c>
      <c r="K154" t="s">
        <v>29</v>
      </c>
      <c r="L154">
        <v>756.81</v>
      </c>
      <c r="M154">
        <v>37.840499999999999</v>
      </c>
      <c r="N154">
        <v>8</v>
      </c>
    </row>
    <row r="155" spans="1:14">
      <c r="A155" t="s">
        <v>226</v>
      </c>
      <c r="B155" t="s">
        <v>27</v>
      </c>
      <c r="C155" t="s">
        <v>1036</v>
      </c>
      <c r="D155" t="s">
        <v>32</v>
      </c>
      <c r="E155">
        <v>77.040000000000006</v>
      </c>
      <c r="F155">
        <v>3</v>
      </c>
      <c r="G155">
        <v>11.555999999999999</v>
      </c>
      <c r="H155">
        <v>242.67599999999999</v>
      </c>
      <c r="I155" s="1">
        <v>43507</v>
      </c>
      <c r="J155" s="1">
        <v>0.44374999999999998</v>
      </c>
      <c r="K155" t="s">
        <v>33</v>
      </c>
      <c r="L155">
        <v>231.12</v>
      </c>
      <c r="M155">
        <v>11.555999999999999</v>
      </c>
      <c r="N155">
        <v>7.2</v>
      </c>
    </row>
    <row r="156" spans="1:14">
      <c r="A156" t="s">
        <v>796</v>
      </c>
      <c r="B156" t="s">
        <v>20</v>
      </c>
      <c r="C156" t="s">
        <v>1036</v>
      </c>
      <c r="D156" t="s">
        <v>44</v>
      </c>
      <c r="E156">
        <v>77.2</v>
      </c>
      <c r="F156">
        <v>10</v>
      </c>
      <c r="G156">
        <v>38.6</v>
      </c>
      <c r="H156">
        <v>810.6</v>
      </c>
      <c r="I156" s="1">
        <v>43507</v>
      </c>
      <c r="J156" s="1">
        <v>0.44305555555555554</v>
      </c>
      <c r="K156" t="s">
        <v>33</v>
      </c>
      <c r="L156">
        <v>772</v>
      </c>
      <c r="M156">
        <v>38.6</v>
      </c>
      <c r="N156">
        <v>5.6</v>
      </c>
    </row>
    <row r="157" spans="1:14">
      <c r="A157" t="s">
        <v>254</v>
      </c>
      <c r="B157" t="s">
        <v>27</v>
      </c>
      <c r="C157" t="s">
        <v>1037</v>
      </c>
      <c r="D157" t="s">
        <v>46</v>
      </c>
      <c r="E157">
        <v>94.87</v>
      </c>
      <c r="F157">
        <v>8</v>
      </c>
      <c r="G157">
        <v>37.948</v>
      </c>
      <c r="H157">
        <v>796.90800000000002</v>
      </c>
      <c r="I157" s="1">
        <v>43508</v>
      </c>
      <c r="J157" s="1">
        <v>0.54027777777777775</v>
      </c>
      <c r="K157" t="s">
        <v>23</v>
      </c>
      <c r="L157">
        <v>758.96</v>
      </c>
      <c r="M157">
        <v>37.948</v>
      </c>
      <c r="N157">
        <v>8.6999999999999993</v>
      </c>
    </row>
    <row r="158" spans="1:14">
      <c r="A158" t="s">
        <v>519</v>
      </c>
      <c r="B158" t="s">
        <v>20</v>
      </c>
      <c r="C158" t="s">
        <v>1037</v>
      </c>
      <c r="D158" t="s">
        <v>32</v>
      </c>
      <c r="E158">
        <v>60.38</v>
      </c>
      <c r="F158">
        <v>10</v>
      </c>
      <c r="G158">
        <v>30.19</v>
      </c>
      <c r="H158">
        <v>633.99</v>
      </c>
      <c r="I158" s="1">
        <v>43508</v>
      </c>
      <c r="J158" s="1">
        <v>0.67986111111111114</v>
      </c>
      <c r="K158" t="s">
        <v>29</v>
      </c>
      <c r="L158">
        <v>603.79999999999995</v>
      </c>
      <c r="M158">
        <v>30.19</v>
      </c>
      <c r="N158">
        <v>6</v>
      </c>
    </row>
    <row r="159" spans="1:14">
      <c r="A159" t="s">
        <v>716</v>
      </c>
      <c r="B159" t="s">
        <v>20</v>
      </c>
      <c r="C159" t="s">
        <v>1036</v>
      </c>
      <c r="D159" t="s">
        <v>28</v>
      </c>
      <c r="E159">
        <v>39.479999999999997</v>
      </c>
      <c r="F159">
        <v>1</v>
      </c>
      <c r="G159">
        <v>1.974</v>
      </c>
      <c r="H159">
        <v>41.454000000000001</v>
      </c>
      <c r="I159" s="1">
        <v>43508</v>
      </c>
      <c r="J159" s="1">
        <v>0.82152777777777775</v>
      </c>
      <c r="K159" t="s">
        <v>29</v>
      </c>
      <c r="L159">
        <v>39.479999999999997</v>
      </c>
      <c r="M159">
        <v>1.974</v>
      </c>
      <c r="N159">
        <v>6.5</v>
      </c>
    </row>
    <row r="160" spans="1:14">
      <c r="A160" t="s">
        <v>578</v>
      </c>
      <c r="B160" t="s">
        <v>20</v>
      </c>
      <c r="C160" t="s">
        <v>1036</v>
      </c>
      <c r="D160" t="s">
        <v>36</v>
      </c>
      <c r="E160">
        <v>20.18</v>
      </c>
      <c r="F160">
        <v>4</v>
      </c>
      <c r="G160">
        <v>4.0359999999999996</v>
      </c>
      <c r="H160">
        <v>84.756</v>
      </c>
      <c r="I160" s="1">
        <v>43509</v>
      </c>
      <c r="J160" s="1">
        <v>0.50972222222222219</v>
      </c>
      <c r="K160" t="s">
        <v>33</v>
      </c>
      <c r="L160">
        <v>80.72</v>
      </c>
      <c r="M160">
        <v>4.0359999999999996</v>
      </c>
      <c r="N160">
        <v>5</v>
      </c>
    </row>
    <row r="161" spans="1:14">
      <c r="A161" t="s">
        <v>803</v>
      </c>
      <c r="B161" t="s">
        <v>27</v>
      </c>
      <c r="C161" t="s">
        <v>1037</v>
      </c>
      <c r="D161" t="s">
        <v>36</v>
      </c>
      <c r="E161">
        <v>13.69</v>
      </c>
      <c r="F161">
        <v>6</v>
      </c>
      <c r="G161">
        <v>4.1070000000000002</v>
      </c>
      <c r="H161">
        <v>86.247</v>
      </c>
      <c r="I161" s="1">
        <v>43509</v>
      </c>
      <c r="J161" s="1">
        <v>0.58263888888888893</v>
      </c>
      <c r="K161" t="s">
        <v>29</v>
      </c>
      <c r="L161">
        <v>82.14</v>
      </c>
      <c r="M161">
        <v>4.1070000000000002</v>
      </c>
      <c r="N161">
        <v>6.3</v>
      </c>
    </row>
    <row r="162" spans="1:14">
      <c r="A162" t="s">
        <v>491</v>
      </c>
      <c r="B162" t="s">
        <v>20</v>
      </c>
      <c r="C162" t="s">
        <v>1036</v>
      </c>
      <c r="D162" t="s">
        <v>46</v>
      </c>
      <c r="E162">
        <v>29.56</v>
      </c>
      <c r="F162">
        <v>5</v>
      </c>
      <c r="G162">
        <v>7.39</v>
      </c>
      <c r="H162">
        <v>155.19</v>
      </c>
      <c r="I162" s="1">
        <v>43509</v>
      </c>
      <c r="J162" s="1">
        <v>0.70763888888888893</v>
      </c>
      <c r="K162" t="s">
        <v>29</v>
      </c>
      <c r="L162">
        <v>147.80000000000001</v>
      </c>
      <c r="M162">
        <v>7.39</v>
      </c>
      <c r="N162">
        <v>6.9</v>
      </c>
    </row>
    <row r="163" spans="1:14">
      <c r="A163" t="s">
        <v>860</v>
      </c>
      <c r="B163" t="s">
        <v>20</v>
      </c>
      <c r="C163" t="s">
        <v>1036</v>
      </c>
      <c r="D163" t="s">
        <v>36</v>
      </c>
      <c r="E163">
        <v>60.08</v>
      </c>
      <c r="F163">
        <v>7</v>
      </c>
      <c r="G163">
        <v>21.027999999999999</v>
      </c>
      <c r="H163">
        <v>441.58800000000002</v>
      </c>
      <c r="I163" s="1">
        <v>43510</v>
      </c>
      <c r="J163" s="1">
        <v>0.48333333333333334</v>
      </c>
      <c r="K163" t="s">
        <v>33</v>
      </c>
      <c r="L163">
        <v>420.56</v>
      </c>
      <c r="M163">
        <v>21.027999999999999</v>
      </c>
      <c r="N163">
        <v>4.5</v>
      </c>
    </row>
    <row r="164" spans="1:14">
      <c r="A164" t="s">
        <v>100</v>
      </c>
      <c r="B164" t="s">
        <v>20</v>
      </c>
      <c r="C164" t="s">
        <v>1037</v>
      </c>
      <c r="D164" t="s">
        <v>22</v>
      </c>
      <c r="E164">
        <v>75.739999999999995</v>
      </c>
      <c r="F164">
        <v>4</v>
      </c>
      <c r="G164">
        <v>15.148</v>
      </c>
      <c r="H164">
        <v>318.108</v>
      </c>
      <c r="I164" s="1">
        <v>43510</v>
      </c>
      <c r="J164" s="1">
        <v>0.60763888888888884</v>
      </c>
      <c r="K164" t="s">
        <v>29</v>
      </c>
      <c r="L164">
        <v>302.95999999999998</v>
      </c>
      <c r="M164">
        <v>15.148</v>
      </c>
      <c r="N164">
        <v>7.6</v>
      </c>
    </row>
    <row r="165" spans="1:14">
      <c r="A165" t="s">
        <v>240</v>
      </c>
      <c r="B165" t="s">
        <v>20</v>
      </c>
      <c r="C165" t="s">
        <v>1037</v>
      </c>
      <c r="D165" t="s">
        <v>32</v>
      </c>
      <c r="E165">
        <v>17.77</v>
      </c>
      <c r="F165">
        <v>5</v>
      </c>
      <c r="G165">
        <v>4.4424999999999999</v>
      </c>
      <c r="H165">
        <v>93.292500000000004</v>
      </c>
      <c r="I165" s="1">
        <v>43511</v>
      </c>
      <c r="J165" s="1">
        <v>0.52916666666666667</v>
      </c>
      <c r="K165" t="s">
        <v>33</v>
      </c>
      <c r="L165">
        <v>88.85</v>
      </c>
      <c r="M165">
        <v>4.4424999999999999</v>
      </c>
      <c r="N165">
        <v>5.4</v>
      </c>
    </row>
    <row r="166" spans="1:14">
      <c r="A166" t="s">
        <v>148</v>
      </c>
      <c r="B166" t="s">
        <v>27</v>
      </c>
      <c r="C166" t="s">
        <v>1036</v>
      </c>
      <c r="D166" t="s">
        <v>46</v>
      </c>
      <c r="E166">
        <v>72.84</v>
      </c>
      <c r="F166">
        <v>7</v>
      </c>
      <c r="G166">
        <v>25.494</v>
      </c>
      <c r="H166">
        <v>535.37400000000002</v>
      </c>
      <c r="I166" s="1">
        <v>43511</v>
      </c>
      <c r="J166" s="1">
        <v>0.53055555555555556</v>
      </c>
      <c r="K166" t="s">
        <v>29</v>
      </c>
      <c r="L166">
        <v>509.88</v>
      </c>
      <c r="M166">
        <v>25.494</v>
      </c>
      <c r="N166">
        <v>8.4</v>
      </c>
    </row>
    <row r="167" spans="1:14">
      <c r="A167" t="s">
        <v>964</v>
      </c>
      <c r="B167" t="s">
        <v>27</v>
      </c>
      <c r="C167" t="s">
        <v>1036</v>
      </c>
      <c r="D167" t="s">
        <v>28</v>
      </c>
      <c r="E167">
        <v>88.25</v>
      </c>
      <c r="F167">
        <v>9</v>
      </c>
      <c r="G167">
        <v>39.712499999999999</v>
      </c>
      <c r="H167">
        <v>833.96249999999998</v>
      </c>
      <c r="I167" s="1">
        <v>43511</v>
      </c>
      <c r="J167" s="1">
        <v>0.86875000000000002</v>
      </c>
      <c r="K167" t="s">
        <v>33</v>
      </c>
      <c r="L167">
        <v>794.25</v>
      </c>
      <c r="M167">
        <v>39.712499999999999</v>
      </c>
      <c r="N167">
        <v>7.6</v>
      </c>
    </row>
    <row r="168" spans="1:14">
      <c r="A168" t="s">
        <v>894</v>
      </c>
      <c r="B168" t="s">
        <v>27</v>
      </c>
      <c r="C168" t="s">
        <v>1037</v>
      </c>
      <c r="D168" t="s">
        <v>22</v>
      </c>
      <c r="E168">
        <v>57.59</v>
      </c>
      <c r="F168">
        <v>6</v>
      </c>
      <c r="G168">
        <v>17.277000000000001</v>
      </c>
      <c r="H168">
        <v>362.81700000000001</v>
      </c>
      <c r="I168" s="1">
        <v>43511</v>
      </c>
      <c r="J168" s="1">
        <v>0.57708333333333328</v>
      </c>
      <c r="K168" t="s">
        <v>29</v>
      </c>
      <c r="L168">
        <v>345.54</v>
      </c>
      <c r="M168">
        <v>17.277000000000001</v>
      </c>
      <c r="N168">
        <v>5.0999999999999996</v>
      </c>
    </row>
    <row r="169" spans="1:14">
      <c r="A169" t="s">
        <v>962</v>
      </c>
      <c r="B169" t="s">
        <v>20</v>
      </c>
      <c r="C169" t="s">
        <v>1037</v>
      </c>
      <c r="D169" t="s">
        <v>36</v>
      </c>
      <c r="E169">
        <v>88.31</v>
      </c>
      <c r="F169">
        <v>1</v>
      </c>
      <c r="G169">
        <v>4.4154999999999998</v>
      </c>
      <c r="H169">
        <v>92.725499999999997</v>
      </c>
      <c r="I169" s="1">
        <v>43511</v>
      </c>
      <c r="J169" s="1">
        <v>0.73472222222222228</v>
      </c>
      <c r="K169" t="s">
        <v>33</v>
      </c>
      <c r="L169">
        <v>88.31</v>
      </c>
      <c r="M169">
        <v>4.4154999999999998</v>
      </c>
      <c r="N169">
        <v>5.2</v>
      </c>
    </row>
    <row r="170" spans="1:14">
      <c r="A170" t="s">
        <v>492</v>
      </c>
      <c r="B170" t="s">
        <v>20</v>
      </c>
      <c r="C170" t="s">
        <v>1036</v>
      </c>
      <c r="D170" t="s">
        <v>44</v>
      </c>
      <c r="E170">
        <v>77.400000000000006</v>
      </c>
      <c r="F170">
        <v>9</v>
      </c>
      <c r="G170">
        <v>34.83</v>
      </c>
      <c r="H170">
        <v>731.43</v>
      </c>
      <c r="I170" s="1">
        <v>43511</v>
      </c>
      <c r="J170" s="1">
        <v>0.59375</v>
      </c>
      <c r="K170" t="s">
        <v>33</v>
      </c>
      <c r="L170">
        <v>696.6</v>
      </c>
      <c r="M170">
        <v>34.83</v>
      </c>
      <c r="N170">
        <v>4.5</v>
      </c>
    </row>
    <row r="171" spans="1:14">
      <c r="A171" t="s">
        <v>378</v>
      </c>
      <c r="B171" t="s">
        <v>20</v>
      </c>
      <c r="C171" t="s">
        <v>1036</v>
      </c>
      <c r="D171" t="s">
        <v>22</v>
      </c>
      <c r="E171">
        <v>76.900000000000006</v>
      </c>
      <c r="F171">
        <v>7</v>
      </c>
      <c r="G171">
        <v>26.914999999999999</v>
      </c>
      <c r="H171">
        <v>565.21500000000003</v>
      </c>
      <c r="I171" s="1">
        <v>43511</v>
      </c>
      <c r="J171" s="1">
        <v>0.84791666666666665</v>
      </c>
      <c r="K171" t="s">
        <v>29</v>
      </c>
      <c r="L171">
        <v>538.29999999999995</v>
      </c>
      <c r="M171">
        <v>26.914999999999999</v>
      </c>
      <c r="N171">
        <v>7.7</v>
      </c>
    </row>
    <row r="172" spans="1:14">
      <c r="A172" t="s">
        <v>660</v>
      </c>
      <c r="B172" t="s">
        <v>20</v>
      </c>
      <c r="C172" t="s">
        <v>1037</v>
      </c>
      <c r="D172" t="s">
        <v>46</v>
      </c>
      <c r="E172">
        <v>91.35</v>
      </c>
      <c r="F172">
        <v>1</v>
      </c>
      <c r="G172">
        <v>4.5674999999999999</v>
      </c>
      <c r="H172">
        <v>95.917500000000004</v>
      </c>
      <c r="I172" s="1">
        <v>43512</v>
      </c>
      <c r="J172" s="1">
        <v>0.65416666666666667</v>
      </c>
      <c r="K172" t="s">
        <v>29</v>
      </c>
      <c r="L172">
        <v>91.35</v>
      </c>
      <c r="M172">
        <v>4.5674999999999999</v>
      </c>
      <c r="N172">
        <v>6.8</v>
      </c>
    </row>
    <row r="173" spans="1:14">
      <c r="A173" t="s">
        <v>690</v>
      </c>
      <c r="B173" t="s">
        <v>20</v>
      </c>
      <c r="C173" t="s">
        <v>1037</v>
      </c>
      <c r="D173" t="s">
        <v>46</v>
      </c>
      <c r="E173">
        <v>60.18</v>
      </c>
      <c r="F173">
        <v>4</v>
      </c>
      <c r="G173">
        <v>12.036</v>
      </c>
      <c r="H173">
        <v>252.756</v>
      </c>
      <c r="I173" s="1">
        <v>43512</v>
      </c>
      <c r="J173" s="1">
        <v>0.75277777777777777</v>
      </c>
      <c r="K173" t="s">
        <v>33</v>
      </c>
      <c r="L173">
        <v>240.72</v>
      </c>
      <c r="M173">
        <v>12.036</v>
      </c>
      <c r="N173">
        <v>9.4</v>
      </c>
    </row>
    <row r="174" spans="1:14">
      <c r="A174" t="s">
        <v>891</v>
      </c>
      <c r="B174" t="s">
        <v>27</v>
      </c>
      <c r="C174" t="s">
        <v>1036</v>
      </c>
      <c r="D174" t="s">
        <v>46</v>
      </c>
      <c r="E174">
        <v>36.51</v>
      </c>
      <c r="F174">
        <v>9</v>
      </c>
      <c r="G174">
        <v>16.429500000000001</v>
      </c>
      <c r="H174">
        <v>345.01949999999999</v>
      </c>
      <c r="I174" s="1">
        <v>43512</v>
      </c>
      <c r="J174" s="1">
        <v>0.45277777777777778</v>
      </c>
      <c r="K174" t="s">
        <v>29</v>
      </c>
      <c r="L174">
        <v>328.59</v>
      </c>
      <c r="M174">
        <v>16.429500000000001</v>
      </c>
      <c r="N174">
        <v>4.2</v>
      </c>
    </row>
    <row r="175" spans="1:14">
      <c r="A175" t="s">
        <v>174</v>
      </c>
      <c r="B175" t="s">
        <v>27</v>
      </c>
      <c r="C175" t="s">
        <v>1037</v>
      </c>
      <c r="D175" t="s">
        <v>36</v>
      </c>
      <c r="E175">
        <v>51.91</v>
      </c>
      <c r="F175">
        <v>10</v>
      </c>
      <c r="G175">
        <v>25.954999999999998</v>
      </c>
      <c r="H175">
        <v>545.05499999999995</v>
      </c>
      <c r="I175" s="1">
        <v>43512</v>
      </c>
      <c r="J175" s="1">
        <v>0.51458333333333328</v>
      </c>
      <c r="K175" t="s">
        <v>29</v>
      </c>
      <c r="L175">
        <v>519.1</v>
      </c>
      <c r="M175">
        <v>25.954999999999998</v>
      </c>
      <c r="N175">
        <v>8.1999999999999993</v>
      </c>
    </row>
    <row r="176" spans="1:14">
      <c r="A176" t="s">
        <v>792</v>
      </c>
      <c r="B176" t="s">
        <v>20</v>
      </c>
      <c r="C176" t="s">
        <v>1036</v>
      </c>
      <c r="D176" t="s">
        <v>28</v>
      </c>
      <c r="E176">
        <v>35.74</v>
      </c>
      <c r="F176">
        <v>8</v>
      </c>
      <c r="G176">
        <v>14.295999999999999</v>
      </c>
      <c r="H176">
        <v>300.21600000000001</v>
      </c>
      <c r="I176" s="1">
        <v>43513</v>
      </c>
      <c r="J176" s="1">
        <v>0.64444444444444449</v>
      </c>
      <c r="K176" t="s">
        <v>23</v>
      </c>
      <c r="L176">
        <v>285.92</v>
      </c>
      <c r="M176">
        <v>14.295999999999999</v>
      </c>
      <c r="N176">
        <v>4.9000000000000004</v>
      </c>
    </row>
    <row r="177" spans="1:14">
      <c r="A177" t="s">
        <v>169</v>
      </c>
      <c r="B177" t="s">
        <v>20</v>
      </c>
      <c r="C177" t="s">
        <v>1037</v>
      </c>
      <c r="D177" t="s">
        <v>28</v>
      </c>
      <c r="E177">
        <v>87.45</v>
      </c>
      <c r="F177">
        <v>6</v>
      </c>
      <c r="G177">
        <v>26.234999999999999</v>
      </c>
      <c r="H177">
        <v>550.93499999999995</v>
      </c>
      <c r="I177" s="1">
        <v>43513</v>
      </c>
      <c r="J177" s="1">
        <v>0.61111111111111116</v>
      </c>
      <c r="K177" t="s">
        <v>33</v>
      </c>
      <c r="L177">
        <v>524.70000000000005</v>
      </c>
      <c r="M177">
        <v>26.234999999999999</v>
      </c>
      <c r="N177">
        <v>8.8000000000000007</v>
      </c>
    </row>
    <row r="178" spans="1:14">
      <c r="A178" t="s">
        <v>1022</v>
      </c>
      <c r="B178" t="s">
        <v>27</v>
      </c>
      <c r="C178" t="s">
        <v>1036</v>
      </c>
      <c r="D178" t="s">
        <v>22</v>
      </c>
      <c r="E178">
        <v>14.76</v>
      </c>
      <c r="F178">
        <v>2</v>
      </c>
      <c r="G178">
        <v>1.476</v>
      </c>
      <c r="H178">
        <v>30.995999999999999</v>
      </c>
      <c r="I178" s="1">
        <v>43514</v>
      </c>
      <c r="J178" s="1">
        <v>0.61250000000000004</v>
      </c>
      <c r="K178" t="s">
        <v>23</v>
      </c>
      <c r="L178">
        <v>29.52</v>
      </c>
      <c r="M178">
        <v>1.476</v>
      </c>
      <c r="N178">
        <v>4.3</v>
      </c>
    </row>
    <row r="179" spans="1:14">
      <c r="A179" t="s">
        <v>712</v>
      </c>
      <c r="B179" t="s">
        <v>20</v>
      </c>
      <c r="C179" t="s">
        <v>1036</v>
      </c>
      <c r="D179" t="s">
        <v>36</v>
      </c>
      <c r="E179">
        <v>64.08</v>
      </c>
      <c r="F179">
        <v>7</v>
      </c>
      <c r="G179">
        <v>22.428000000000001</v>
      </c>
      <c r="H179">
        <v>470.988</v>
      </c>
      <c r="I179" s="1">
        <v>43515</v>
      </c>
      <c r="J179" s="1">
        <v>0.81180555555555556</v>
      </c>
      <c r="K179" t="s">
        <v>33</v>
      </c>
      <c r="L179">
        <v>448.56</v>
      </c>
      <c r="M179">
        <v>22.428000000000001</v>
      </c>
      <c r="N179">
        <v>7.3</v>
      </c>
    </row>
    <row r="180" spans="1:14">
      <c r="A180" t="s">
        <v>200</v>
      </c>
      <c r="B180" t="s">
        <v>27</v>
      </c>
      <c r="C180" t="s">
        <v>1037</v>
      </c>
      <c r="D180" t="s">
        <v>44</v>
      </c>
      <c r="E180">
        <v>39.9</v>
      </c>
      <c r="F180">
        <v>10</v>
      </c>
      <c r="G180">
        <v>19.95</v>
      </c>
      <c r="H180">
        <v>418.95</v>
      </c>
      <c r="I180" s="1">
        <v>43516</v>
      </c>
      <c r="J180" s="1">
        <v>0.64166666666666672</v>
      </c>
      <c r="K180" t="s">
        <v>33</v>
      </c>
      <c r="L180">
        <v>399</v>
      </c>
      <c r="M180">
        <v>19.95</v>
      </c>
      <c r="N180">
        <v>5.9</v>
      </c>
    </row>
    <row r="181" spans="1:14">
      <c r="A181" t="s">
        <v>918</v>
      </c>
      <c r="B181" t="s">
        <v>20</v>
      </c>
      <c r="C181" t="s">
        <v>1037</v>
      </c>
      <c r="D181" t="s">
        <v>36</v>
      </c>
      <c r="E181">
        <v>31.99</v>
      </c>
      <c r="F181">
        <v>10</v>
      </c>
      <c r="G181">
        <v>15.994999999999999</v>
      </c>
      <c r="H181">
        <v>335.89499999999998</v>
      </c>
      <c r="I181" s="1">
        <v>43516</v>
      </c>
      <c r="J181" s="1">
        <v>0.63749999999999996</v>
      </c>
      <c r="K181" t="s">
        <v>33</v>
      </c>
      <c r="L181">
        <v>319.89999999999998</v>
      </c>
      <c r="M181">
        <v>15.994999999999999</v>
      </c>
      <c r="N181">
        <v>9.9</v>
      </c>
    </row>
    <row r="182" spans="1:14">
      <c r="A182" t="s">
        <v>321</v>
      </c>
      <c r="B182" t="s">
        <v>27</v>
      </c>
      <c r="C182" t="s">
        <v>1037</v>
      </c>
      <c r="D182" t="s">
        <v>22</v>
      </c>
      <c r="E182">
        <v>66.680000000000007</v>
      </c>
      <c r="F182">
        <v>5</v>
      </c>
      <c r="G182">
        <v>16.670000000000002</v>
      </c>
      <c r="H182">
        <v>350.07</v>
      </c>
      <c r="I182" s="1">
        <v>43516</v>
      </c>
      <c r="J182" s="1">
        <v>0.75069444444444444</v>
      </c>
      <c r="K182" t="s">
        <v>29</v>
      </c>
      <c r="L182">
        <v>333.4</v>
      </c>
      <c r="M182">
        <v>16.670000000000002</v>
      </c>
      <c r="N182">
        <v>7.6</v>
      </c>
    </row>
    <row r="183" spans="1:14">
      <c r="A183" t="s">
        <v>702</v>
      </c>
      <c r="B183" t="s">
        <v>20</v>
      </c>
      <c r="C183" t="s">
        <v>1037</v>
      </c>
      <c r="D183" t="s">
        <v>44</v>
      </c>
      <c r="E183">
        <v>57.74</v>
      </c>
      <c r="F183">
        <v>3</v>
      </c>
      <c r="G183">
        <v>8.6609999999999996</v>
      </c>
      <c r="H183">
        <v>181.881</v>
      </c>
      <c r="I183" s="1">
        <v>43516</v>
      </c>
      <c r="J183" s="1">
        <v>0.54583333333333328</v>
      </c>
      <c r="K183" t="s">
        <v>23</v>
      </c>
      <c r="L183">
        <v>173.22</v>
      </c>
      <c r="M183">
        <v>8.6609999999999996</v>
      </c>
      <c r="N183">
        <v>7.7</v>
      </c>
    </row>
    <row r="184" spans="1:14">
      <c r="A184" t="s">
        <v>41</v>
      </c>
      <c r="B184" t="s">
        <v>20</v>
      </c>
      <c r="C184" t="s">
        <v>1036</v>
      </c>
      <c r="D184" t="s">
        <v>44</v>
      </c>
      <c r="E184">
        <v>54.84</v>
      </c>
      <c r="F184">
        <v>3</v>
      </c>
      <c r="G184">
        <v>8.2260000000000009</v>
      </c>
      <c r="H184">
        <v>172.74600000000001</v>
      </c>
      <c r="I184" s="1">
        <v>43516</v>
      </c>
      <c r="J184" s="1">
        <v>0.56041666666666667</v>
      </c>
      <c r="K184" t="s">
        <v>33</v>
      </c>
      <c r="L184">
        <v>164.52</v>
      </c>
      <c r="M184">
        <v>8.2260000000000009</v>
      </c>
      <c r="N184">
        <v>5.9</v>
      </c>
    </row>
    <row r="185" spans="1:14">
      <c r="A185" t="s">
        <v>612</v>
      </c>
      <c r="B185" t="s">
        <v>27</v>
      </c>
      <c r="C185" t="s">
        <v>1037</v>
      </c>
      <c r="D185" t="s">
        <v>44</v>
      </c>
      <c r="E185">
        <v>60.3</v>
      </c>
      <c r="F185">
        <v>4</v>
      </c>
      <c r="G185">
        <v>12.06</v>
      </c>
      <c r="H185">
        <v>253.26</v>
      </c>
      <c r="I185" s="1">
        <v>43516</v>
      </c>
      <c r="J185" s="1">
        <v>0.77986111111111112</v>
      </c>
      <c r="K185" t="s">
        <v>29</v>
      </c>
      <c r="L185">
        <v>241.2</v>
      </c>
      <c r="M185">
        <v>12.06</v>
      </c>
      <c r="N185">
        <v>5.8</v>
      </c>
    </row>
    <row r="186" spans="1:14">
      <c r="A186" t="s">
        <v>986</v>
      </c>
      <c r="B186" t="s">
        <v>20</v>
      </c>
      <c r="C186" t="s">
        <v>1037</v>
      </c>
      <c r="D186" t="s">
        <v>22</v>
      </c>
      <c r="E186">
        <v>39.909999999999997</v>
      </c>
      <c r="F186">
        <v>3</v>
      </c>
      <c r="G186">
        <v>5.9865000000000004</v>
      </c>
      <c r="H186">
        <v>125.7165</v>
      </c>
      <c r="I186" s="1">
        <v>43517</v>
      </c>
      <c r="J186" s="1">
        <v>0.52777777777777779</v>
      </c>
      <c r="K186" t="s">
        <v>23</v>
      </c>
      <c r="L186">
        <v>119.73</v>
      </c>
      <c r="M186">
        <v>5.9865000000000004</v>
      </c>
      <c r="N186">
        <v>9.3000000000000007</v>
      </c>
    </row>
    <row r="187" spans="1:14">
      <c r="A187" t="s">
        <v>269</v>
      </c>
      <c r="B187" t="s">
        <v>20</v>
      </c>
      <c r="C187" t="s">
        <v>1037</v>
      </c>
      <c r="D187" t="s">
        <v>46</v>
      </c>
      <c r="E187">
        <v>73.819999999999993</v>
      </c>
      <c r="F187">
        <v>4</v>
      </c>
      <c r="G187">
        <v>14.763999999999999</v>
      </c>
      <c r="H187">
        <v>310.04399999999998</v>
      </c>
      <c r="I187" s="1">
        <v>43517</v>
      </c>
      <c r="J187" s="1">
        <v>0.77152777777777781</v>
      </c>
      <c r="K187" t="s">
        <v>29</v>
      </c>
      <c r="L187">
        <v>295.27999999999997</v>
      </c>
      <c r="M187">
        <v>14.763999999999999</v>
      </c>
      <c r="N187">
        <v>6.7</v>
      </c>
    </row>
    <row r="188" spans="1:14">
      <c r="A188" t="s">
        <v>1029</v>
      </c>
      <c r="B188" t="s">
        <v>27</v>
      </c>
      <c r="C188" t="s">
        <v>1037</v>
      </c>
      <c r="D188" t="s">
        <v>46</v>
      </c>
      <c r="E188">
        <v>17.489999999999998</v>
      </c>
      <c r="F188">
        <v>10</v>
      </c>
      <c r="G188">
        <v>8.7449999999999992</v>
      </c>
      <c r="H188">
        <v>183.64500000000001</v>
      </c>
      <c r="I188" s="1">
        <v>43518</v>
      </c>
      <c r="J188" s="1">
        <v>0.77430555555555558</v>
      </c>
      <c r="K188" t="s">
        <v>23</v>
      </c>
      <c r="L188">
        <v>174.9</v>
      </c>
      <c r="M188">
        <v>8.7449999999999992</v>
      </c>
      <c r="N188">
        <v>6.6</v>
      </c>
    </row>
    <row r="189" spans="1:14">
      <c r="A189" t="s">
        <v>470</v>
      </c>
      <c r="B189" t="s">
        <v>27</v>
      </c>
      <c r="C189" t="s">
        <v>1036</v>
      </c>
      <c r="D189" t="s">
        <v>46</v>
      </c>
      <c r="E189">
        <v>47.44</v>
      </c>
      <c r="F189">
        <v>1</v>
      </c>
      <c r="G189">
        <v>2.3719999999999999</v>
      </c>
      <c r="H189">
        <v>49.811999999999998</v>
      </c>
      <c r="I189" s="1">
        <v>43518</v>
      </c>
      <c r="J189" s="1">
        <v>0.7631944444444444</v>
      </c>
      <c r="K189" t="s">
        <v>33</v>
      </c>
      <c r="L189">
        <v>47.44</v>
      </c>
      <c r="M189">
        <v>2.3719999999999999</v>
      </c>
      <c r="N189">
        <v>6.8</v>
      </c>
    </row>
    <row r="190" spans="1:14">
      <c r="A190" t="s">
        <v>439</v>
      </c>
      <c r="B190" t="s">
        <v>27</v>
      </c>
      <c r="C190" t="s">
        <v>1036</v>
      </c>
      <c r="D190" t="s">
        <v>46</v>
      </c>
      <c r="E190">
        <v>39.75</v>
      </c>
      <c r="F190">
        <v>5</v>
      </c>
      <c r="G190">
        <v>9.9375</v>
      </c>
      <c r="H190">
        <v>208.6875</v>
      </c>
      <c r="I190" s="1">
        <v>43518</v>
      </c>
      <c r="J190" s="1">
        <v>0.4465277777777778</v>
      </c>
      <c r="K190" t="s">
        <v>23</v>
      </c>
      <c r="L190">
        <v>198.75</v>
      </c>
      <c r="M190">
        <v>9.9375</v>
      </c>
      <c r="N190">
        <v>9.6</v>
      </c>
    </row>
    <row r="191" spans="1:14">
      <c r="A191" t="s">
        <v>587</v>
      </c>
      <c r="B191" t="s">
        <v>27</v>
      </c>
      <c r="C191" t="s">
        <v>1036</v>
      </c>
      <c r="D191" t="s">
        <v>46</v>
      </c>
      <c r="E191">
        <v>54.31</v>
      </c>
      <c r="F191">
        <v>9</v>
      </c>
      <c r="G191">
        <v>24.439499999999999</v>
      </c>
      <c r="H191">
        <v>513.22950000000003</v>
      </c>
      <c r="I191" s="1">
        <v>43518</v>
      </c>
      <c r="J191" s="1">
        <v>0.45069444444444445</v>
      </c>
      <c r="K191" t="s">
        <v>29</v>
      </c>
      <c r="L191">
        <v>488.79</v>
      </c>
      <c r="M191">
        <v>24.439499999999999</v>
      </c>
      <c r="N191">
        <v>8.9</v>
      </c>
    </row>
    <row r="192" spans="1:14">
      <c r="A192" t="s">
        <v>954</v>
      </c>
      <c r="B192" t="s">
        <v>27</v>
      </c>
      <c r="C192" t="s">
        <v>1037</v>
      </c>
      <c r="D192" t="s">
        <v>32</v>
      </c>
      <c r="E192">
        <v>68.97</v>
      </c>
      <c r="F192">
        <v>3</v>
      </c>
      <c r="G192">
        <v>10.345499999999999</v>
      </c>
      <c r="H192">
        <v>217.25550000000001</v>
      </c>
      <c r="I192" s="1">
        <v>43518</v>
      </c>
      <c r="J192" s="1">
        <v>0.47638888888888886</v>
      </c>
      <c r="K192" t="s">
        <v>23</v>
      </c>
      <c r="L192">
        <v>206.91</v>
      </c>
      <c r="M192">
        <v>10.345499999999999</v>
      </c>
      <c r="N192">
        <v>8.6999999999999993</v>
      </c>
    </row>
    <row r="193" spans="1:14">
      <c r="A193" t="s">
        <v>840</v>
      </c>
      <c r="B193" t="s">
        <v>20</v>
      </c>
      <c r="C193" t="s">
        <v>1036</v>
      </c>
      <c r="D193" t="s">
        <v>28</v>
      </c>
      <c r="E193">
        <v>75.59</v>
      </c>
      <c r="F193">
        <v>9</v>
      </c>
      <c r="G193">
        <v>34.015500000000003</v>
      </c>
      <c r="H193">
        <v>714.32550000000003</v>
      </c>
      <c r="I193" s="1">
        <v>43519</v>
      </c>
      <c r="J193" s="1">
        <v>0.46666666666666667</v>
      </c>
      <c r="K193" t="s">
        <v>29</v>
      </c>
      <c r="L193">
        <v>680.31</v>
      </c>
      <c r="M193">
        <v>34.015500000000003</v>
      </c>
      <c r="N193">
        <v>8</v>
      </c>
    </row>
    <row r="194" spans="1:14">
      <c r="A194" t="s">
        <v>676</v>
      </c>
      <c r="B194" t="s">
        <v>20</v>
      </c>
      <c r="C194" t="s">
        <v>1036</v>
      </c>
      <c r="D194" t="s">
        <v>44</v>
      </c>
      <c r="E194">
        <v>98.79</v>
      </c>
      <c r="F194">
        <v>3</v>
      </c>
      <c r="G194">
        <v>14.8185</v>
      </c>
      <c r="H194">
        <v>311.18849999999998</v>
      </c>
      <c r="I194" s="1">
        <v>43519</v>
      </c>
      <c r="J194" s="1">
        <v>0.83333333333333337</v>
      </c>
      <c r="K194" t="s">
        <v>23</v>
      </c>
      <c r="L194">
        <v>296.37</v>
      </c>
      <c r="M194">
        <v>14.8185</v>
      </c>
      <c r="N194">
        <v>6.4</v>
      </c>
    </row>
    <row r="195" spans="1:14">
      <c r="A195" t="s">
        <v>340</v>
      </c>
      <c r="B195" t="s">
        <v>27</v>
      </c>
      <c r="C195" t="s">
        <v>1036</v>
      </c>
      <c r="D195" t="s">
        <v>28</v>
      </c>
      <c r="E195">
        <v>14.96</v>
      </c>
      <c r="F195">
        <v>8</v>
      </c>
      <c r="G195">
        <v>5.984</v>
      </c>
      <c r="H195">
        <v>125.664</v>
      </c>
      <c r="I195" s="1">
        <v>43519</v>
      </c>
      <c r="J195" s="1">
        <v>0.52013888888888893</v>
      </c>
      <c r="K195" t="s">
        <v>29</v>
      </c>
      <c r="L195">
        <v>119.68</v>
      </c>
      <c r="M195">
        <v>5.984</v>
      </c>
      <c r="N195">
        <v>8.6</v>
      </c>
    </row>
    <row r="196" spans="1:14">
      <c r="A196" t="s">
        <v>703</v>
      </c>
      <c r="B196" t="s">
        <v>27</v>
      </c>
      <c r="C196" t="s">
        <v>1036</v>
      </c>
      <c r="D196" t="s">
        <v>22</v>
      </c>
      <c r="E196">
        <v>17.97</v>
      </c>
      <c r="F196">
        <v>4</v>
      </c>
      <c r="G196">
        <v>3.5939999999999999</v>
      </c>
      <c r="H196">
        <v>75.474000000000004</v>
      </c>
      <c r="I196" s="1">
        <v>43519</v>
      </c>
      <c r="J196" s="1">
        <v>0.86319444444444449</v>
      </c>
      <c r="K196" t="s">
        <v>23</v>
      </c>
      <c r="L196">
        <v>71.88</v>
      </c>
      <c r="M196">
        <v>3.5939999999999999</v>
      </c>
      <c r="N196">
        <v>6.4</v>
      </c>
    </row>
    <row r="197" spans="1:14">
      <c r="A197" t="s">
        <v>373</v>
      </c>
      <c r="B197" t="s">
        <v>27</v>
      </c>
      <c r="C197" t="s">
        <v>1036</v>
      </c>
      <c r="D197" t="s">
        <v>36</v>
      </c>
      <c r="E197">
        <v>57.95</v>
      </c>
      <c r="F197">
        <v>6</v>
      </c>
      <c r="G197">
        <v>17.385000000000002</v>
      </c>
      <c r="H197">
        <v>365.08499999999998</v>
      </c>
      <c r="I197" s="1">
        <v>43520</v>
      </c>
      <c r="J197" s="1">
        <v>0.54305555555555551</v>
      </c>
      <c r="K197" t="s">
        <v>29</v>
      </c>
      <c r="L197">
        <v>347.7</v>
      </c>
      <c r="M197">
        <v>17.385000000000002</v>
      </c>
      <c r="N197">
        <v>5.2</v>
      </c>
    </row>
    <row r="198" spans="1:14">
      <c r="A198" t="s">
        <v>711</v>
      </c>
      <c r="B198" t="s">
        <v>20</v>
      </c>
      <c r="C198" t="s">
        <v>1037</v>
      </c>
      <c r="D198" t="s">
        <v>46</v>
      </c>
      <c r="E198">
        <v>83.77</v>
      </c>
      <c r="F198">
        <v>2</v>
      </c>
      <c r="G198">
        <v>8.3770000000000007</v>
      </c>
      <c r="H198">
        <v>175.917</v>
      </c>
      <c r="I198" s="1">
        <v>43520</v>
      </c>
      <c r="J198" s="1">
        <v>0.83125000000000004</v>
      </c>
      <c r="K198" t="s">
        <v>29</v>
      </c>
      <c r="L198">
        <v>167.54</v>
      </c>
      <c r="M198">
        <v>8.3770000000000007</v>
      </c>
      <c r="N198">
        <v>4.5999999999999996</v>
      </c>
    </row>
    <row r="199" spans="1:14">
      <c r="A199" t="s">
        <v>985</v>
      </c>
      <c r="B199" t="s">
        <v>27</v>
      </c>
      <c r="C199" t="s">
        <v>1036</v>
      </c>
      <c r="D199" t="s">
        <v>44</v>
      </c>
      <c r="E199">
        <v>26.43</v>
      </c>
      <c r="F199">
        <v>8</v>
      </c>
      <c r="G199">
        <v>10.571999999999999</v>
      </c>
      <c r="H199">
        <v>222.012</v>
      </c>
      <c r="I199" s="1">
        <v>43520</v>
      </c>
      <c r="J199" s="1">
        <v>0.60138888888888886</v>
      </c>
      <c r="K199" t="s">
        <v>23</v>
      </c>
      <c r="L199">
        <v>211.44</v>
      </c>
      <c r="M199">
        <v>10.571999999999999</v>
      </c>
      <c r="N199">
        <v>8.9</v>
      </c>
    </row>
    <row r="200" spans="1:14">
      <c r="A200" t="s">
        <v>606</v>
      </c>
      <c r="B200" t="s">
        <v>20</v>
      </c>
      <c r="C200" t="s">
        <v>1036</v>
      </c>
      <c r="D200" t="s">
        <v>32</v>
      </c>
      <c r="E200">
        <v>82.04</v>
      </c>
      <c r="F200">
        <v>5</v>
      </c>
      <c r="G200">
        <v>20.51</v>
      </c>
      <c r="H200">
        <v>430.71</v>
      </c>
      <c r="I200" s="1">
        <v>43521</v>
      </c>
      <c r="J200" s="1">
        <v>0.71944444444444444</v>
      </c>
      <c r="K200" t="s">
        <v>33</v>
      </c>
      <c r="L200">
        <v>410.2</v>
      </c>
      <c r="M200">
        <v>20.51</v>
      </c>
      <c r="N200">
        <v>7.6</v>
      </c>
    </row>
    <row r="201" spans="1:14">
      <c r="A201" t="s">
        <v>889</v>
      </c>
      <c r="B201" t="s">
        <v>27</v>
      </c>
      <c r="C201" t="s">
        <v>1036</v>
      </c>
      <c r="D201" t="s">
        <v>28</v>
      </c>
      <c r="E201">
        <v>52.79</v>
      </c>
      <c r="F201">
        <v>10</v>
      </c>
      <c r="G201">
        <v>26.395</v>
      </c>
      <c r="H201">
        <v>554.29499999999996</v>
      </c>
      <c r="I201" s="1">
        <v>43521</v>
      </c>
      <c r="J201" s="1">
        <v>0.49861111111111112</v>
      </c>
      <c r="K201" t="s">
        <v>23</v>
      </c>
      <c r="L201">
        <v>527.9</v>
      </c>
      <c r="M201">
        <v>26.395</v>
      </c>
      <c r="N201">
        <v>10</v>
      </c>
    </row>
    <row r="202" spans="1:14">
      <c r="A202" t="s">
        <v>66</v>
      </c>
      <c r="B202" t="s">
        <v>27</v>
      </c>
      <c r="C202" t="s">
        <v>1037</v>
      </c>
      <c r="D202" t="s">
        <v>46</v>
      </c>
      <c r="E202">
        <v>94.13</v>
      </c>
      <c r="F202">
        <v>5</v>
      </c>
      <c r="G202">
        <v>23.532499999999999</v>
      </c>
      <c r="H202">
        <v>494.1825</v>
      </c>
      <c r="I202" s="1">
        <v>43521</v>
      </c>
      <c r="J202" s="1">
        <v>0.81874999999999998</v>
      </c>
      <c r="K202" t="s">
        <v>33</v>
      </c>
      <c r="L202">
        <v>470.65</v>
      </c>
      <c r="M202">
        <v>23.532499999999999</v>
      </c>
      <c r="N202">
        <v>4.8</v>
      </c>
    </row>
    <row r="203" spans="1:14">
      <c r="A203" t="s">
        <v>988</v>
      </c>
      <c r="B203" t="s">
        <v>20</v>
      </c>
      <c r="C203" t="s">
        <v>1036</v>
      </c>
      <c r="D203" t="s">
        <v>44</v>
      </c>
      <c r="E203">
        <v>62.85</v>
      </c>
      <c r="F203">
        <v>4</v>
      </c>
      <c r="G203">
        <v>12.57</v>
      </c>
      <c r="H203">
        <v>263.97000000000003</v>
      </c>
      <c r="I203" s="1">
        <v>43521</v>
      </c>
      <c r="J203" s="1">
        <v>0.55694444444444446</v>
      </c>
      <c r="K203" t="s">
        <v>23</v>
      </c>
      <c r="L203">
        <v>251.4</v>
      </c>
      <c r="M203">
        <v>12.57</v>
      </c>
      <c r="N203">
        <v>8.6999999999999993</v>
      </c>
    </row>
    <row r="204" spans="1:14">
      <c r="A204" t="s">
        <v>540</v>
      </c>
      <c r="B204" t="s">
        <v>27</v>
      </c>
      <c r="C204" t="s">
        <v>1037</v>
      </c>
      <c r="D204" t="s">
        <v>36</v>
      </c>
      <c r="E204">
        <v>88.45</v>
      </c>
      <c r="F204">
        <v>1</v>
      </c>
      <c r="G204">
        <v>4.4225000000000003</v>
      </c>
      <c r="H204">
        <v>92.872500000000002</v>
      </c>
      <c r="I204" s="1">
        <v>43521</v>
      </c>
      <c r="J204" s="1">
        <v>0.69166666666666665</v>
      </c>
      <c r="K204" t="s">
        <v>33</v>
      </c>
      <c r="L204">
        <v>88.45</v>
      </c>
      <c r="M204">
        <v>4.4225000000000003</v>
      </c>
      <c r="N204">
        <v>9.5</v>
      </c>
    </row>
    <row r="205" spans="1:14">
      <c r="A205" t="s">
        <v>913</v>
      </c>
      <c r="B205" t="s">
        <v>20</v>
      </c>
      <c r="C205" t="s">
        <v>1037</v>
      </c>
      <c r="D205" t="s">
        <v>28</v>
      </c>
      <c r="E205">
        <v>39.75</v>
      </c>
      <c r="F205">
        <v>1</v>
      </c>
      <c r="G205">
        <v>1.9875</v>
      </c>
      <c r="H205">
        <v>41.737499999999997</v>
      </c>
      <c r="I205" s="1">
        <v>43521</v>
      </c>
      <c r="J205" s="1">
        <v>0.84652777777777777</v>
      </c>
      <c r="K205" t="s">
        <v>29</v>
      </c>
      <c r="L205">
        <v>39.75</v>
      </c>
      <c r="M205">
        <v>1.9875</v>
      </c>
      <c r="N205">
        <v>6.1</v>
      </c>
    </row>
    <row r="206" spans="1:14">
      <c r="A206" t="s">
        <v>867</v>
      </c>
      <c r="B206" t="s">
        <v>27</v>
      </c>
      <c r="C206" t="s">
        <v>1037</v>
      </c>
      <c r="D206" t="s">
        <v>22</v>
      </c>
      <c r="E206">
        <v>62.57</v>
      </c>
      <c r="F206">
        <v>4</v>
      </c>
      <c r="G206">
        <v>12.513999999999999</v>
      </c>
      <c r="H206">
        <v>262.79399999999998</v>
      </c>
      <c r="I206" s="1">
        <v>43521</v>
      </c>
      <c r="J206" s="1">
        <v>0.77569444444444446</v>
      </c>
      <c r="K206" t="s">
        <v>29</v>
      </c>
      <c r="L206">
        <v>250.28</v>
      </c>
      <c r="M206">
        <v>12.513999999999999</v>
      </c>
      <c r="N206">
        <v>9.5</v>
      </c>
    </row>
    <row r="207" spans="1:14">
      <c r="A207" t="s">
        <v>201</v>
      </c>
      <c r="B207" t="s">
        <v>20</v>
      </c>
      <c r="C207" t="s">
        <v>1037</v>
      </c>
      <c r="D207" t="s">
        <v>22</v>
      </c>
      <c r="E207">
        <v>42.57</v>
      </c>
      <c r="F207">
        <v>8</v>
      </c>
      <c r="G207">
        <v>17.027999999999999</v>
      </c>
      <c r="H207">
        <v>357.58800000000002</v>
      </c>
      <c r="I207" s="1">
        <v>43521</v>
      </c>
      <c r="J207" s="1">
        <v>0.59166666666666667</v>
      </c>
      <c r="K207" t="s">
        <v>23</v>
      </c>
      <c r="L207">
        <v>340.56</v>
      </c>
      <c r="M207">
        <v>17.027999999999999</v>
      </c>
      <c r="N207">
        <v>5.6</v>
      </c>
    </row>
    <row r="208" spans="1:14">
      <c r="A208" t="s">
        <v>310</v>
      </c>
      <c r="B208" t="s">
        <v>27</v>
      </c>
      <c r="C208" t="s">
        <v>1036</v>
      </c>
      <c r="D208" t="s">
        <v>22</v>
      </c>
      <c r="E208">
        <v>99.71</v>
      </c>
      <c r="F208">
        <v>6</v>
      </c>
      <c r="G208">
        <v>29.913</v>
      </c>
      <c r="H208">
        <v>628.173</v>
      </c>
      <c r="I208" s="1">
        <v>43522</v>
      </c>
      <c r="J208" s="1">
        <v>0.70277777777777772</v>
      </c>
      <c r="K208" t="s">
        <v>23</v>
      </c>
      <c r="L208">
        <v>598.26</v>
      </c>
      <c r="M208">
        <v>29.913</v>
      </c>
      <c r="N208">
        <v>7.9</v>
      </c>
    </row>
    <row r="209" spans="1:14">
      <c r="A209" t="s">
        <v>300</v>
      </c>
      <c r="B209" t="s">
        <v>27</v>
      </c>
      <c r="C209" t="s">
        <v>1037</v>
      </c>
      <c r="D209" t="s">
        <v>36</v>
      </c>
      <c r="E209">
        <v>54.45</v>
      </c>
      <c r="F209">
        <v>1</v>
      </c>
      <c r="G209">
        <v>2.7225000000000001</v>
      </c>
      <c r="H209">
        <v>57.172499999999999</v>
      </c>
      <c r="I209" s="1">
        <v>43522</v>
      </c>
      <c r="J209" s="1">
        <v>0.80833333333333335</v>
      </c>
      <c r="K209" t="s">
        <v>23</v>
      </c>
      <c r="L209">
        <v>54.45</v>
      </c>
      <c r="M209">
        <v>2.7225000000000001</v>
      </c>
      <c r="N209">
        <v>7.9</v>
      </c>
    </row>
    <row r="210" spans="1:14">
      <c r="A210" t="s">
        <v>1013</v>
      </c>
      <c r="B210" t="s">
        <v>20</v>
      </c>
      <c r="C210" t="s">
        <v>1037</v>
      </c>
      <c r="D210" t="s">
        <v>44</v>
      </c>
      <c r="E210">
        <v>26.6</v>
      </c>
      <c r="F210">
        <v>6</v>
      </c>
      <c r="G210">
        <v>7.98</v>
      </c>
      <c r="H210">
        <v>167.58</v>
      </c>
      <c r="I210" s="1">
        <v>43522</v>
      </c>
      <c r="J210" s="1">
        <v>0.63194444444444442</v>
      </c>
      <c r="K210" t="s">
        <v>23</v>
      </c>
      <c r="L210">
        <v>159.6</v>
      </c>
      <c r="M210">
        <v>7.98</v>
      </c>
      <c r="N210">
        <v>4.9000000000000004</v>
      </c>
    </row>
    <row r="211" spans="1:14">
      <c r="A211" t="s">
        <v>806</v>
      </c>
      <c r="B211" t="s">
        <v>20</v>
      </c>
      <c r="C211" t="s">
        <v>1036</v>
      </c>
      <c r="D211" t="s">
        <v>36</v>
      </c>
      <c r="E211">
        <v>95.54</v>
      </c>
      <c r="F211">
        <v>4</v>
      </c>
      <c r="G211">
        <v>19.108000000000001</v>
      </c>
      <c r="H211">
        <v>401.26799999999997</v>
      </c>
      <c r="I211" s="1">
        <v>43522</v>
      </c>
      <c r="J211" s="1">
        <v>0.49861111111111112</v>
      </c>
      <c r="K211" t="s">
        <v>23</v>
      </c>
      <c r="L211">
        <v>382.16</v>
      </c>
      <c r="M211">
        <v>19.108000000000001</v>
      </c>
      <c r="N211">
        <v>4.5</v>
      </c>
    </row>
    <row r="212" spans="1:14">
      <c r="A212" t="s">
        <v>530</v>
      </c>
      <c r="B212" t="s">
        <v>27</v>
      </c>
      <c r="C212" t="s">
        <v>1037</v>
      </c>
      <c r="D212" t="s">
        <v>46</v>
      </c>
      <c r="E212">
        <v>99.89</v>
      </c>
      <c r="F212">
        <v>2</v>
      </c>
      <c r="G212">
        <v>9.9890000000000008</v>
      </c>
      <c r="H212">
        <v>209.76900000000001</v>
      </c>
      <c r="I212" s="1">
        <v>43522</v>
      </c>
      <c r="J212" s="1">
        <v>0.49166666666666664</v>
      </c>
      <c r="K212" t="s">
        <v>23</v>
      </c>
      <c r="L212">
        <v>199.78</v>
      </c>
      <c r="M212">
        <v>9.9890000000000008</v>
      </c>
      <c r="N212">
        <v>7.1</v>
      </c>
    </row>
    <row r="213" spans="1:14">
      <c r="A213" t="s">
        <v>264</v>
      </c>
      <c r="B213" t="s">
        <v>20</v>
      </c>
      <c r="C213" t="s">
        <v>1036</v>
      </c>
      <c r="D213" t="s">
        <v>28</v>
      </c>
      <c r="E213">
        <v>90.7</v>
      </c>
      <c r="F213">
        <v>6</v>
      </c>
      <c r="G213">
        <v>27.21</v>
      </c>
      <c r="H213">
        <v>571.41</v>
      </c>
      <c r="I213" s="1">
        <v>43522</v>
      </c>
      <c r="J213" s="1">
        <v>0.45277777777777778</v>
      </c>
      <c r="K213" t="s">
        <v>29</v>
      </c>
      <c r="L213">
        <v>544.20000000000005</v>
      </c>
      <c r="M213">
        <v>27.21</v>
      </c>
      <c r="N213">
        <v>5.3</v>
      </c>
    </row>
    <row r="214" spans="1:14">
      <c r="A214" t="s">
        <v>738</v>
      </c>
      <c r="B214" t="s">
        <v>20</v>
      </c>
      <c r="C214" t="s">
        <v>1036</v>
      </c>
      <c r="D214" t="s">
        <v>46</v>
      </c>
      <c r="E214">
        <v>19.77</v>
      </c>
      <c r="F214">
        <v>10</v>
      </c>
      <c r="G214">
        <v>9.8849999999999998</v>
      </c>
      <c r="H214">
        <v>207.58500000000001</v>
      </c>
      <c r="I214" s="1">
        <v>43523</v>
      </c>
      <c r="J214" s="1">
        <v>0.7895833333333333</v>
      </c>
      <c r="K214" t="s">
        <v>33</v>
      </c>
      <c r="L214">
        <v>197.7</v>
      </c>
      <c r="M214">
        <v>9.8849999999999998</v>
      </c>
      <c r="N214">
        <v>5</v>
      </c>
    </row>
    <row r="215" spans="1:14">
      <c r="A215" t="s">
        <v>82</v>
      </c>
      <c r="B215" t="s">
        <v>20</v>
      </c>
      <c r="C215" t="s">
        <v>1037</v>
      </c>
      <c r="D215" t="s">
        <v>22</v>
      </c>
      <c r="E215">
        <v>56.69</v>
      </c>
      <c r="F215">
        <v>9</v>
      </c>
      <c r="G215">
        <v>25.5105</v>
      </c>
      <c r="H215">
        <v>535.72050000000002</v>
      </c>
      <c r="I215" s="1">
        <v>43523</v>
      </c>
      <c r="J215" s="1">
        <v>0.72499999999999998</v>
      </c>
      <c r="K215" t="s">
        <v>33</v>
      </c>
      <c r="L215">
        <v>510.21</v>
      </c>
      <c r="M215">
        <v>25.5105</v>
      </c>
      <c r="N215">
        <v>8.4</v>
      </c>
    </row>
    <row r="216" spans="1:14">
      <c r="A216" t="s">
        <v>385</v>
      </c>
      <c r="B216" t="s">
        <v>27</v>
      </c>
      <c r="C216" t="s">
        <v>1036</v>
      </c>
      <c r="D216" t="s">
        <v>22</v>
      </c>
      <c r="E216">
        <v>13.5</v>
      </c>
      <c r="F216">
        <v>10</v>
      </c>
      <c r="G216">
        <v>6.75</v>
      </c>
      <c r="H216">
        <v>141.75</v>
      </c>
      <c r="I216" s="1">
        <v>43523</v>
      </c>
      <c r="J216" s="1">
        <v>0.46250000000000002</v>
      </c>
      <c r="K216" t="s">
        <v>33</v>
      </c>
      <c r="L216">
        <v>135</v>
      </c>
      <c r="M216">
        <v>6.75</v>
      </c>
      <c r="N216">
        <v>4.8</v>
      </c>
    </row>
    <row r="217" spans="1:14">
      <c r="A217" t="s">
        <v>464</v>
      </c>
      <c r="B217" t="s">
        <v>27</v>
      </c>
      <c r="C217" t="s">
        <v>1037</v>
      </c>
      <c r="D217" t="s">
        <v>36</v>
      </c>
      <c r="E217">
        <v>67.27</v>
      </c>
      <c r="F217">
        <v>5</v>
      </c>
      <c r="G217">
        <v>16.817499999999999</v>
      </c>
      <c r="H217">
        <v>353.16750000000002</v>
      </c>
      <c r="I217" s="1">
        <v>43523</v>
      </c>
      <c r="J217" s="1">
        <v>0.7270833333333333</v>
      </c>
      <c r="K217" t="s">
        <v>29</v>
      </c>
      <c r="L217">
        <v>336.35</v>
      </c>
      <c r="M217">
        <v>16.817499999999999</v>
      </c>
      <c r="N217">
        <v>6.9</v>
      </c>
    </row>
    <row r="218" spans="1:14">
      <c r="A218" t="s">
        <v>675</v>
      </c>
      <c r="B218" t="s">
        <v>27</v>
      </c>
      <c r="C218" t="s">
        <v>1037</v>
      </c>
      <c r="D218" t="s">
        <v>46</v>
      </c>
      <c r="E218">
        <v>52.42</v>
      </c>
      <c r="F218">
        <v>3</v>
      </c>
      <c r="G218">
        <v>7.8630000000000004</v>
      </c>
      <c r="H218">
        <v>165.12299999999999</v>
      </c>
      <c r="I218" s="1">
        <v>43523</v>
      </c>
      <c r="J218" s="1">
        <v>0.73333333333333328</v>
      </c>
      <c r="K218" t="s">
        <v>23</v>
      </c>
      <c r="L218">
        <v>157.26</v>
      </c>
      <c r="M218">
        <v>7.8630000000000004</v>
      </c>
      <c r="N218">
        <v>7.5</v>
      </c>
    </row>
    <row r="219" spans="1:14">
      <c r="A219" t="s">
        <v>125</v>
      </c>
      <c r="B219" t="s">
        <v>27</v>
      </c>
      <c r="C219" t="s">
        <v>1036</v>
      </c>
      <c r="D219" t="s">
        <v>22</v>
      </c>
      <c r="E219">
        <v>76.989999999999995</v>
      </c>
      <c r="F219">
        <v>6</v>
      </c>
      <c r="G219">
        <v>23.097000000000001</v>
      </c>
      <c r="H219">
        <v>485.03699999999998</v>
      </c>
      <c r="I219" s="1">
        <v>43523</v>
      </c>
      <c r="J219" s="1">
        <v>0.74652777777777779</v>
      </c>
      <c r="K219" t="s">
        <v>29</v>
      </c>
      <c r="L219">
        <v>461.94</v>
      </c>
      <c r="M219">
        <v>23.097000000000001</v>
      </c>
      <c r="N219">
        <v>6.1</v>
      </c>
    </row>
    <row r="220" spans="1:14">
      <c r="A220" t="s">
        <v>522</v>
      </c>
      <c r="B220" t="s">
        <v>27</v>
      </c>
      <c r="C220" t="s">
        <v>1036</v>
      </c>
      <c r="D220" t="s">
        <v>46</v>
      </c>
      <c r="E220">
        <v>41.09</v>
      </c>
      <c r="F220">
        <v>10</v>
      </c>
      <c r="G220">
        <v>20.545000000000002</v>
      </c>
      <c r="H220">
        <v>431.44499999999999</v>
      </c>
      <c r="I220" s="1">
        <v>43524</v>
      </c>
      <c r="J220" s="1">
        <v>0.61250000000000004</v>
      </c>
      <c r="K220" t="s">
        <v>29</v>
      </c>
      <c r="L220">
        <v>410.9</v>
      </c>
      <c r="M220">
        <v>20.545000000000002</v>
      </c>
      <c r="N220">
        <v>7.3</v>
      </c>
    </row>
    <row r="221" spans="1:14">
      <c r="A221" t="s">
        <v>877</v>
      </c>
      <c r="B221" t="s">
        <v>27</v>
      </c>
      <c r="C221" t="s">
        <v>1037</v>
      </c>
      <c r="D221" t="s">
        <v>28</v>
      </c>
      <c r="E221">
        <v>60.3</v>
      </c>
      <c r="F221">
        <v>1</v>
      </c>
      <c r="G221">
        <v>3.0150000000000001</v>
      </c>
      <c r="H221">
        <v>63.314999999999998</v>
      </c>
      <c r="I221" s="1">
        <v>43524</v>
      </c>
      <c r="J221" s="1">
        <v>0.73472222222222228</v>
      </c>
      <c r="K221" t="s">
        <v>29</v>
      </c>
      <c r="L221">
        <v>60.3</v>
      </c>
      <c r="M221">
        <v>3.0150000000000001</v>
      </c>
      <c r="N221">
        <v>6</v>
      </c>
    </row>
    <row r="222" spans="1:14">
      <c r="A222" t="s">
        <v>394</v>
      </c>
      <c r="B222" t="s">
        <v>27</v>
      </c>
      <c r="C222" t="s">
        <v>1037</v>
      </c>
      <c r="D222" t="s">
        <v>28</v>
      </c>
      <c r="E222">
        <v>27.5</v>
      </c>
      <c r="F222">
        <v>3</v>
      </c>
      <c r="G222">
        <v>4.125</v>
      </c>
      <c r="H222">
        <v>86.625</v>
      </c>
      <c r="I222" s="1">
        <v>43525</v>
      </c>
      <c r="J222" s="1">
        <v>0.65277777777777779</v>
      </c>
      <c r="K222" t="s">
        <v>23</v>
      </c>
      <c r="L222">
        <v>82.5</v>
      </c>
      <c r="M222">
        <v>4.125</v>
      </c>
      <c r="N222">
        <v>6.5</v>
      </c>
    </row>
    <row r="223" spans="1:14">
      <c r="A223" t="s">
        <v>631</v>
      </c>
      <c r="B223" t="s">
        <v>27</v>
      </c>
      <c r="C223" t="s">
        <v>1037</v>
      </c>
      <c r="D223" t="s">
        <v>22</v>
      </c>
      <c r="E223">
        <v>14.82</v>
      </c>
      <c r="F223">
        <v>3</v>
      </c>
      <c r="G223">
        <v>2.2229999999999999</v>
      </c>
      <c r="H223">
        <v>46.683</v>
      </c>
      <c r="I223" s="1">
        <v>43525</v>
      </c>
      <c r="J223" s="1">
        <v>0.47916666666666669</v>
      </c>
      <c r="K223" t="s">
        <v>33</v>
      </c>
      <c r="L223">
        <v>44.46</v>
      </c>
      <c r="M223">
        <v>2.2229999999999999</v>
      </c>
      <c r="N223">
        <v>8.6999999999999993</v>
      </c>
    </row>
    <row r="224" spans="1:14">
      <c r="A224" t="s">
        <v>770</v>
      </c>
      <c r="B224" t="s">
        <v>20</v>
      </c>
      <c r="C224" t="s">
        <v>1037</v>
      </c>
      <c r="D224" t="s">
        <v>44</v>
      </c>
      <c r="E224">
        <v>53.72</v>
      </c>
      <c r="F224">
        <v>1</v>
      </c>
      <c r="G224">
        <v>2.6859999999999999</v>
      </c>
      <c r="H224">
        <v>56.405999999999999</v>
      </c>
      <c r="I224" s="1">
        <v>43525</v>
      </c>
      <c r="J224" s="1">
        <v>0.8354166666666667</v>
      </c>
      <c r="K224" t="s">
        <v>23</v>
      </c>
      <c r="L224">
        <v>53.72</v>
      </c>
      <c r="M224">
        <v>2.6859999999999999</v>
      </c>
      <c r="N224">
        <v>6.4</v>
      </c>
    </row>
    <row r="225" spans="1:14">
      <c r="A225" t="s">
        <v>615</v>
      </c>
      <c r="B225" t="s">
        <v>27</v>
      </c>
      <c r="C225" t="s">
        <v>1037</v>
      </c>
      <c r="D225" t="s">
        <v>22</v>
      </c>
      <c r="E225">
        <v>69.510000000000005</v>
      </c>
      <c r="F225">
        <v>2</v>
      </c>
      <c r="G225">
        <v>6.9509999999999996</v>
      </c>
      <c r="H225">
        <v>145.971</v>
      </c>
      <c r="I225" s="1">
        <v>43525</v>
      </c>
      <c r="J225" s="1">
        <v>0.51041666666666663</v>
      </c>
      <c r="K225" t="s">
        <v>23</v>
      </c>
      <c r="L225">
        <v>139.02000000000001</v>
      </c>
      <c r="M225">
        <v>6.9509999999999996</v>
      </c>
      <c r="N225">
        <v>8.1</v>
      </c>
    </row>
    <row r="226" spans="1:14">
      <c r="A226" t="s">
        <v>611</v>
      </c>
      <c r="B226" t="s">
        <v>20</v>
      </c>
      <c r="C226" t="s">
        <v>1037</v>
      </c>
      <c r="D226" t="s">
        <v>46</v>
      </c>
      <c r="E226">
        <v>81.31</v>
      </c>
      <c r="F226">
        <v>7</v>
      </c>
      <c r="G226">
        <v>28.458500000000001</v>
      </c>
      <c r="H226">
        <v>597.62850000000003</v>
      </c>
      <c r="I226" s="1">
        <v>43525</v>
      </c>
      <c r="J226" s="1">
        <v>0.8256944444444444</v>
      </c>
      <c r="K226" t="s">
        <v>23</v>
      </c>
      <c r="L226">
        <v>569.16999999999996</v>
      </c>
      <c r="M226">
        <v>28.458500000000001</v>
      </c>
      <c r="N226">
        <v>6.3</v>
      </c>
    </row>
    <row r="227" spans="1:14">
      <c r="A227" t="s">
        <v>1001</v>
      </c>
      <c r="B227" t="s">
        <v>27</v>
      </c>
      <c r="C227" t="s">
        <v>1036</v>
      </c>
      <c r="D227" t="s">
        <v>28</v>
      </c>
      <c r="E227">
        <v>38.270000000000003</v>
      </c>
      <c r="F227">
        <v>2</v>
      </c>
      <c r="G227">
        <v>3.827</v>
      </c>
      <c r="H227">
        <v>80.367000000000004</v>
      </c>
      <c r="I227" s="1">
        <v>43526</v>
      </c>
      <c r="J227" s="1">
        <v>0.76249999999999996</v>
      </c>
      <c r="K227" t="s">
        <v>33</v>
      </c>
      <c r="L227">
        <v>76.540000000000006</v>
      </c>
      <c r="M227">
        <v>3.827</v>
      </c>
      <c r="N227">
        <v>5.8</v>
      </c>
    </row>
    <row r="228" spans="1:14">
      <c r="A228" t="s">
        <v>740</v>
      </c>
      <c r="B228" t="s">
        <v>20</v>
      </c>
      <c r="C228" t="s">
        <v>1036</v>
      </c>
      <c r="D228" t="s">
        <v>32</v>
      </c>
      <c r="E228">
        <v>88.39</v>
      </c>
      <c r="F228">
        <v>9</v>
      </c>
      <c r="G228">
        <v>39.775500000000001</v>
      </c>
      <c r="H228">
        <v>835.28549999999996</v>
      </c>
      <c r="I228" s="1">
        <v>43526</v>
      </c>
      <c r="J228" s="1">
        <v>0.52777777777777779</v>
      </c>
      <c r="K228" t="s">
        <v>29</v>
      </c>
      <c r="L228">
        <v>795.51</v>
      </c>
      <c r="M228">
        <v>39.775500000000001</v>
      </c>
      <c r="N228">
        <v>6.3</v>
      </c>
    </row>
    <row r="229" spans="1:14">
      <c r="A229" t="s">
        <v>955</v>
      </c>
      <c r="B229" t="s">
        <v>20</v>
      </c>
      <c r="C229" t="s">
        <v>1036</v>
      </c>
      <c r="D229" t="s">
        <v>28</v>
      </c>
      <c r="E229">
        <v>26.26</v>
      </c>
      <c r="F229">
        <v>3</v>
      </c>
      <c r="G229">
        <v>3.9390000000000001</v>
      </c>
      <c r="H229">
        <v>82.718999999999994</v>
      </c>
      <c r="I229" s="1">
        <v>43526</v>
      </c>
      <c r="J229" s="1">
        <v>0.52500000000000002</v>
      </c>
      <c r="K229" t="s">
        <v>23</v>
      </c>
      <c r="L229">
        <v>78.78</v>
      </c>
      <c r="M229">
        <v>3.9390000000000001</v>
      </c>
      <c r="N229">
        <v>6.3</v>
      </c>
    </row>
    <row r="230" spans="1:14">
      <c r="A230" t="s">
        <v>965</v>
      </c>
      <c r="B230" t="s">
        <v>27</v>
      </c>
      <c r="C230" t="s">
        <v>1037</v>
      </c>
      <c r="D230" t="s">
        <v>36</v>
      </c>
      <c r="E230">
        <v>25.31</v>
      </c>
      <c r="F230">
        <v>2</v>
      </c>
      <c r="G230">
        <v>2.5310000000000001</v>
      </c>
      <c r="H230">
        <v>53.151000000000003</v>
      </c>
      <c r="I230" s="1">
        <v>43526</v>
      </c>
      <c r="J230" s="1">
        <v>0.80972222222222223</v>
      </c>
      <c r="K230" t="s">
        <v>23</v>
      </c>
      <c r="L230">
        <v>50.62</v>
      </c>
      <c r="M230">
        <v>2.5310000000000001</v>
      </c>
      <c r="N230">
        <v>7.2</v>
      </c>
    </row>
    <row r="231" spans="1:14">
      <c r="A231" t="s">
        <v>274</v>
      </c>
      <c r="B231" t="s">
        <v>20</v>
      </c>
      <c r="C231" t="s">
        <v>1036</v>
      </c>
      <c r="D231" t="s">
        <v>28</v>
      </c>
      <c r="E231">
        <v>13.22</v>
      </c>
      <c r="F231">
        <v>5</v>
      </c>
      <c r="G231">
        <v>3.3050000000000002</v>
      </c>
      <c r="H231">
        <v>69.405000000000001</v>
      </c>
      <c r="I231" s="1">
        <v>43526</v>
      </c>
      <c r="J231" s="1">
        <v>0.80972222222222223</v>
      </c>
      <c r="K231" t="s">
        <v>29</v>
      </c>
      <c r="L231">
        <v>66.099999999999994</v>
      </c>
      <c r="M231">
        <v>3.3050000000000002</v>
      </c>
      <c r="N231">
        <v>4.3</v>
      </c>
    </row>
    <row r="232" spans="1:14">
      <c r="A232" t="s">
        <v>245</v>
      </c>
      <c r="B232" t="s">
        <v>27</v>
      </c>
      <c r="C232" t="s">
        <v>1036</v>
      </c>
      <c r="D232" t="s">
        <v>28</v>
      </c>
      <c r="E232">
        <v>99.73</v>
      </c>
      <c r="F232">
        <v>9</v>
      </c>
      <c r="G232">
        <v>44.878500000000003</v>
      </c>
      <c r="H232">
        <v>942.44849999999997</v>
      </c>
      <c r="I232" s="1">
        <v>43526</v>
      </c>
      <c r="J232" s="1">
        <v>0.8208333333333333</v>
      </c>
      <c r="K232" t="s">
        <v>33</v>
      </c>
      <c r="L232">
        <v>897.57</v>
      </c>
      <c r="M232">
        <v>44.878500000000003</v>
      </c>
      <c r="N232">
        <v>6.5</v>
      </c>
    </row>
    <row r="233" spans="1:14">
      <c r="A233" t="s">
        <v>1032</v>
      </c>
      <c r="B233" t="s">
        <v>27</v>
      </c>
      <c r="C233" t="s">
        <v>1036</v>
      </c>
      <c r="D233" t="s">
        <v>32</v>
      </c>
      <c r="E233">
        <v>97.38</v>
      </c>
      <c r="F233">
        <v>10</v>
      </c>
      <c r="G233">
        <v>48.69</v>
      </c>
      <c r="H233">
        <v>1022.49</v>
      </c>
      <c r="I233" s="1">
        <v>43526</v>
      </c>
      <c r="J233" s="1">
        <v>0.71944444444444444</v>
      </c>
      <c r="K233" t="s">
        <v>23</v>
      </c>
      <c r="L233">
        <v>973.8</v>
      </c>
      <c r="M233">
        <v>48.69</v>
      </c>
      <c r="N233">
        <v>4.4000000000000004</v>
      </c>
    </row>
    <row r="234" spans="1:14">
      <c r="A234" t="s">
        <v>708</v>
      </c>
      <c r="B234" t="s">
        <v>27</v>
      </c>
      <c r="C234" t="s">
        <v>1036</v>
      </c>
      <c r="D234" t="s">
        <v>22</v>
      </c>
      <c r="E234">
        <v>73.41</v>
      </c>
      <c r="F234">
        <v>3</v>
      </c>
      <c r="G234">
        <v>11.0115</v>
      </c>
      <c r="H234">
        <v>231.2415</v>
      </c>
      <c r="I234" s="1">
        <v>43526</v>
      </c>
      <c r="J234" s="1">
        <v>0.54861111111111116</v>
      </c>
      <c r="K234" t="s">
        <v>23</v>
      </c>
      <c r="L234">
        <v>220.23</v>
      </c>
      <c r="M234">
        <v>11.0115</v>
      </c>
      <c r="N234">
        <v>4</v>
      </c>
    </row>
    <row r="235" spans="1:14">
      <c r="A235" t="s">
        <v>389</v>
      </c>
      <c r="B235" t="s">
        <v>20</v>
      </c>
      <c r="C235" t="s">
        <v>1037</v>
      </c>
      <c r="D235" t="s">
        <v>32</v>
      </c>
      <c r="E235">
        <v>27</v>
      </c>
      <c r="F235">
        <v>9</v>
      </c>
      <c r="G235">
        <v>12.15</v>
      </c>
      <c r="H235">
        <v>255.15</v>
      </c>
      <c r="I235" s="1">
        <v>43526</v>
      </c>
      <c r="J235" s="1">
        <v>0.59444444444444444</v>
      </c>
      <c r="K235" t="s">
        <v>29</v>
      </c>
      <c r="L235">
        <v>243</v>
      </c>
      <c r="M235">
        <v>12.15</v>
      </c>
      <c r="N235">
        <v>4.8</v>
      </c>
    </row>
    <row r="236" spans="1:14">
      <c r="A236" t="s">
        <v>497</v>
      </c>
      <c r="B236" t="s">
        <v>20</v>
      </c>
      <c r="C236" t="s">
        <v>1036</v>
      </c>
      <c r="D236" t="s">
        <v>44</v>
      </c>
      <c r="E236">
        <v>73.05</v>
      </c>
      <c r="F236">
        <v>10</v>
      </c>
      <c r="G236">
        <v>36.524999999999999</v>
      </c>
      <c r="H236">
        <v>767.02499999999998</v>
      </c>
      <c r="I236" s="1">
        <v>43527</v>
      </c>
      <c r="J236" s="1">
        <v>0.51736111111111116</v>
      </c>
      <c r="K236" t="s">
        <v>33</v>
      </c>
      <c r="L236">
        <v>730.5</v>
      </c>
      <c r="M236">
        <v>36.524999999999999</v>
      </c>
      <c r="N236">
        <v>8.6999999999999993</v>
      </c>
    </row>
    <row r="237" spans="1:14">
      <c r="A237" t="s">
        <v>75</v>
      </c>
      <c r="B237" t="s">
        <v>20</v>
      </c>
      <c r="C237" t="s">
        <v>1037</v>
      </c>
      <c r="D237" t="s">
        <v>32</v>
      </c>
      <c r="E237">
        <v>30.12</v>
      </c>
      <c r="F237">
        <v>8</v>
      </c>
      <c r="G237">
        <v>12.048</v>
      </c>
      <c r="H237">
        <v>253.00800000000001</v>
      </c>
      <c r="I237" s="1">
        <v>43527</v>
      </c>
      <c r="J237" s="1">
        <v>0.54236111111111107</v>
      </c>
      <c r="K237" t="s">
        <v>29</v>
      </c>
      <c r="L237">
        <v>240.96</v>
      </c>
      <c r="M237">
        <v>12.048</v>
      </c>
      <c r="N237">
        <v>7.7</v>
      </c>
    </row>
    <row r="238" spans="1:14">
      <c r="A238" t="s">
        <v>222</v>
      </c>
      <c r="B238" t="s">
        <v>20</v>
      </c>
      <c r="C238" t="s">
        <v>1036</v>
      </c>
      <c r="D238" t="s">
        <v>32</v>
      </c>
      <c r="E238">
        <v>94.49</v>
      </c>
      <c r="F238">
        <v>8</v>
      </c>
      <c r="G238">
        <v>37.795999999999999</v>
      </c>
      <c r="H238">
        <v>793.71600000000001</v>
      </c>
      <c r="I238" s="1">
        <v>43527</v>
      </c>
      <c r="J238" s="1">
        <v>0.79166666666666663</v>
      </c>
      <c r="K238" t="s">
        <v>23</v>
      </c>
      <c r="L238">
        <v>755.92</v>
      </c>
      <c r="M238">
        <v>37.795999999999999</v>
      </c>
      <c r="N238">
        <v>7.5</v>
      </c>
    </row>
    <row r="239" spans="1:14">
      <c r="A239" t="s">
        <v>435</v>
      </c>
      <c r="B239" t="s">
        <v>20</v>
      </c>
      <c r="C239" t="s">
        <v>1037</v>
      </c>
      <c r="D239" t="s">
        <v>28</v>
      </c>
      <c r="E239">
        <v>19.239999999999998</v>
      </c>
      <c r="F239">
        <v>9</v>
      </c>
      <c r="G239">
        <v>8.6579999999999995</v>
      </c>
      <c r="H239">
        <v>181.81800000000001</v>
      </c>
      <c r="I239" s="1">
        <v>43528</v>
      </c>
      <c r="J239" s="1">
        <v>0.68611111111111112</v>
      </c>
      <c r="K239" t="s">
        <v>29</v>
      </c>
      <c r="L239">
        <v>173.16</v>
      </c>
      <c r="M239">
        <v>8.6579999999999995</v>
      </c>
      <c r="N239">
        <v>8</v>
      </c>
    </row>
    <row r="240" spans="1:14">
      <c r="A240" t="s">
        <v>528</v>
      </c>
      <c r="B240" t="s">
        <v>20</v>
      </c>
      <c r="C240" t="s">
        <v>1036</v>
      </c>
      <c r="D240" t="s">
        <v>22</v>
      </c>
      <c r="E240">
        <v>25.32</v>
      </c>
      <c r="F240">
        <v>8</v>
      </c>
      <c r="G240">
        <v>10.128</v>
      </c>
      <c r="H240">
        <v>212.68799999999999</v>
      </c>
      <c r="I240" s="1">
        <v>43529</v>
      </c>
      <c r="J240" s="1">
        <v>0.85</v>
      </c>
      <c r="K240" t="s">
        <v>23</v>
      </c>
      <c r="L240">
        <v>202.56</v>
      </c>
      <c r="M240">
        <v>10.128</v>
      </c>
      <c r="N240">
        <v>8.6999999999999993</v>
      </c>
    </row>
    <row r="241" spans="1:14">
      <c r="A241" t="s">
        <v>108</v>
      </c>
      <c r="B241" t="s">
        <v>20</v>
      </c>
      <c r="C241" t="s">
        <v>1036</v>
      </c>
      <c r="D241" t="s">
        <v>44</v>
      </c>
      <c r="E241">
        <v>48.52</v>
      </c>
      <c r="F241">
        <v>3</v>
      </c>
      <c r="G241">
        <v>7.2779999999999996</v>
      </c>
      <c r="H241">
        <v>152.83799999999999</v>
      </c>
      <c r="I241" s="1">
        <v>43529</v>
      </c>
      <c r="J241" s="1">
        <v>0.76180555555555551</v>
      </c>
      <c r="K241" t="s">
        <v>23</v>
      </c>
      <c r="L241">
        <v>145.56</v>
      </c>
      <c r="M241">
        <v>7.2779999999999996</v>
      </c>
      <c r="N241">
        <v>4</v>
      </c>
    </row>
    <row r="242" spans="1:14">
      <c r="A242" t="s">
        <v>801</v>
      </c>
      <c r="B242" t="s">
        <v>27</v>
      </c>
      <c r="C242" t="s">
        <v>1036</v>
      </c>
      <c r="D242" t="s">
        <v>32</v>
      </c>
      <c r="E242">
        <v>95.46</v>
      </c>
      <c r="F242">
        <v>8</v>
      </c>
      <c r="G242">
        <v>38.183999999999997</v>
      </c>
      <c r="H242">
        <v>801.86400000000003</v>
      </c>
      <c r="I242" s="1">
        <v>43529</v>
      </c>
      <c r="J242" s="1">
        <v>0.81944444444444442</v>
      </c>
      <c r="K242" t="s">
        <v>23</v>
      </c>
      <c r="L242">
        <v>763.68</v>
      </c>
      <c r="M242">
        <v>38.183999999999997</v>
      </c>
      <c r="N242">
        <v>4.7</v>
      </c>
    </row>
    <row r="243" spans="1:14">
      <c r="A243" t="s">
        <v>152</v>
      </c>
      <c r="B243" t="s">
        <v>20</v>
      </c>
      <c r="C243" t="s">
        <v>1037</v>
      </c>
      <c r="D243" t="s">
        <v>46</v>
      </c>
      <c r="E243">
        <v>21.94</v>
      </c>
      <c r="F243">
        <v>5</v>
      </c>
      <c r="G243">
        <v>5.4850000000000003</v>
      </c>
      <c r="H243">
        <v>115.185</v>
      </c>
      <c r="I243" s="1">
        <v>43529</v>
      </c>
      <c r="J243" s="1">
        <v>0.52013888888888893</v>
      </c>
      <c r="K243" t="s">
        <v>23</v>
      </c>
      <c r="L243">
        <v>109.7</v>
      </c>
      <c r="M243">
        <v>5.4850000000000003</v>
      </c>
      <c r="N243">
        <v>5.3</v>
      </c>
    </row>
    <row r="244" spans="1:14">
      <c r="A244" t="s">
        <v>135</v>
      </c>
      <c r="B244" t="s">
        <v>27</v>
      </c>
      <c r="C244" t="s">
        <v>1037</v>
      </c>
      <c r="D244" t="s">
        <v>32</v>
      </c>
      <c r="E244">
        <v>82.7</v>
      </c>
      <c r="F244">
        <v>6</v>
      </c>
      <c r="G244">
        <v>24.81</v>
      </c>
      <c r="H244">
        <v>521.01</v>
      </c>
      <c r="I244" s="1">
        <v>43529</v>
      </c>
      <c r="J244" s="1">
        <v>0.75972222222222219</v>
      </c>
      <c r="K244" t="s">
        <v>29</v>
      </c>
      <c r="L244">
        <v>496.2</v>
      </c>
      <c r="M244">
        <v>24.81</v>
      </c>
      <c r="N244">
        <v>7.4</v>
      </c>
    </row>
    <row r="245" spans="1:14">
      <c r="A245" t="s">
        <v>221</v>
      </c>
      <c r="B245" t="s">
        <v>20</v>
      </c>
      <c r="C245" t="s">
        <v>1037</v>
      </c>
      <c r="D245" t="s">
        <v>44</v>
      </c>
      <c r="E245">
        <v>18.079999999999998</v>
      </c>
      <c r="F245">
        <v>3</v>
      </c>
      <c r="G245">
        <v>2.7120000000000002</v>
      </c>
      <c r="H245">
        <v>56.951999999999998</v>
      </c>
      <c r="I245" s="1">
        <v>43529</v>
      </c>
      <c r="J245" s="1">
        <v>0.82361111111111107</v>
      </c>
      <c r="K245" t="s">
        <v>23</v>
      </c>
      <c r="L245">
        <v>54.24</v>
      </c>
      <c r="M245">
        <v>2.7120000000000002</v>
      </c>
      <c r="N245">
        <v>8</v>
      </c>
    </row>
    <row r="246" spans="1:14">
      <c r="A246" t="s">
        <v>434</v>
      </c>
      <c r="B246" t="s">
        <v>20</v>
      </c>
      <c r="C246" t="s">
        <v>1036</v>
      </c>
      <c r="D246" t="s">
        <v>22</v>
      </c>
      <c r="E246">
        <v>41.06</v>
      </c>
      <c r="F246">
        <v>6</v>
      </c>
      <c r="G246">
        <v>12.318</v>
      </c>
      <c r="H246">
        <v>258.678</v>
      </c>
      <c r="I246" s="1">
        <v>43529</v>
      </c>
      <c r="J246" s="1">
        <v>0.5625</v>
      </c>
      <c r="K246" t="s">
        <v>33</v>
      </c>
      <c r="L246">
        <v>246.36</v>
      </c>
      <c r="M246">
        <v>12.318</v>
      </c>
      <c r="N246">
        <v>8.3000000000000007</v>
      </c>
    </row>
    <row r="247" spans="1:14">
      <c r="A247" t="s">
        <v>377</v>
      </c>
      <c r="B247" t="s">
        <v>20</v>
      </c>
      <c r="C247" t="s">
        <v>1036</v>
      </c>
      <c r="D247" t="s">
        <v>22</v>
      </c>
      <c r="E247">
        <v>55.97</v>
      </c>
      <c r="F247">
        <v>7</v>
      </c>
      <c r="G247">
        <v>19.589500000000001</v>
      </c>
      <c r="H247">
        <v>411.37950000000001</v>
      </c>
      <c r="I247" s="1">
        <v>43529</v>
      </c>
      <c r="J247" s="1">
        <v>0.79583333333333328</v>
      </c>
      <c r="K247" t="s">
        <v>23</v>
      </c>
      <c r="L247">
        <v>391.79</v>
      </c>
      <c r="M247">
        <v>19.589500000000001</v>
      </c>
      <c r="N247">
        <v>8.9</v>
      </c>
    </row>
    <row r="248" spans="1:14">
      <c r="A248" t="s">
        <v>57</v>
      </c>
      <c r="B248" t="s">
        <v>27</v>
      </c>
      <c r="C248" t="s">
        <v>1037</v>
      </c>
      <c r="D248" t="s">
        <v>22</v>
      </c>
      <c r="E248">
        <v>87.98</v>
      </c>
      <c r="F248">
        <v>3</v>
      </c>
      <c r="G248">
        <v>13.196999999999999</v>
      </c>
      <c r="H248">
        <v>277.137</v>
      </c>
      <c r="I248" s="1">
        <v>43529</v>
      </c>
      <c r="J248" s="1">
        <v>0.44444444444444442</v>
      </c>
      <c r="K248" t="s">
        <v>23</v>
      </c>
      <c r="L248">
        <v>263.94</v>
      </c>
      <c r="M248">
        <v>13.196999999999999</v>
      </c>
      <c r="N248">
        <v>5.0999999999999996</v>
      </c>
    </row>
    <row r="249" spans="1:14">
      <c r="A249" t="s">
        <v>763</v>
      </c>
      <c r="B249" t="s">
        <v>27</v>
      </c>
      <c r="C249" t="s">
        <v>1037</v>
      </c>
      <c r="D249" t="s">
        <v>36</v>
      </c>
      <c r="E249">
        <v>69.739999999999995</v>
      </c>
      <c r="F249">
        <v>10</v>
      </c>
      <c r="G249">
        <v>34.869999999999997</v>
      </c>
      <c r="H249">
        <v>732.27</v>
      </c>
      <c r="I249" s="1">
        <v>43529</v>
      </c>
      <c r="J249" s="1">
        <v>0.74236111111111114</v>
      </c>
      <c r="K249" t="s">
        <v>33</v>
      </c>
      <c r="L249">
        <v>697.4</v>
      </c>
      <c r="M249">
        <v>34.869999999999997</v>
      </c>
      <c r="N249">
        <v>8.9</v>
      </c>
    </row>
    <row r="250" spans="1:14">
      <c r="A250" t="s">
        <v>929</v>
      </c>
      <c r="B250" t="s">
        <v>27</v>
      </c>
      <c r="C250" t="s">
        <v>1037</v>
      </c>
      <c r="D250" t="s">
        <v>28</v>
      </c>
      <c r="E250">
        <v>28.38</v>
      </c>
      <c r="F250">
        <v>5</v>
      </c>
      <c r="G250">
        <v>7.0949999999999998</v>
      </c>
      <c r="H250">
        <v>148.995</v>
      </c>
      <c r="I250" s="1">
        <v>43530</v>
      </c>
      <c r="J250" s="1">
        <v>0.87291666666666667</v>
      </c>
      <c r="K250" t="s">
        <v>29</v>
      </c>
      <c r="L250">
        <v>141.9</v>
      </c>
      <c r="M250">
        <v>7.0949999999999998</v>
      </c>
      <c r="N250">
        <v>9.4</v>
      </c>
    </row>
    <row r="251" spans="1:14">
      <c r="A251" t="s">
        <v>184</v>
      </c>
      <c r="B251" t="s">
        <v>20</v>
      </c>
      <c r="C251" t="s">
        <v>1037</v>
      </c>
      <c r="D251" t="s">
        <v>32</v>
      </c>
      <c r="E251">
        <v>71.86</v>
      </c>
      <c r="F251">
        <v>8</v>
      </c>
      <c r="G251">
        <v>28.744</v>
      </c>
      <c r="H251">
        <v>603.62400000000002</v>
      </c>
      <c r="I251" s="1">
        <v>43530</v>
      </c>
      <c r="J251" s="1">
        <v>0.62986111111111109</v>
      </c>
      <c r="K251" t="s">
        <v>33</v>
      </c>
      <c r="L251">
        <v>574.88</v>
      </c>
      <c r="M251">
        <v>28.744</v>
      </c>
      <c r="N251">
        <v>6.2</v>
      </c>
    </row>
    <row r="252" spans="1:14">
      <c r="A252" t="s">
        <v>306</v>
      </c>
      <c r="B252" t="s">
        <v>27</v>
      </c>
      <c r="C252" t="s">
        <v>1036</v>
      </c>
      <c r="D252" t="s">
        <v>36</v>
      </c>
      <c r="E252">
        <v>67.430000000000007</v>
      </c>
      <c r="F252">
        <v>5</v>
      </c>
      <c r="G252">
        <v>16.857500000000002</v>
      </c>
      <c r="H252">
        <v>354.00749999999999</v>
      </c>
      <c r="I252" s="1">
        <v>43530</v>
      </c>
      <c r="J252" s="1">
        <v>0.75902777777777775</v>
      </c>
      <c r="K252" t="s">
        <v>23</v>
      </c>
      <c r="L252">
        <v>337.15</v>
      </c>
      <c r="M252">
        <v>16.857500000000002</v>
      </c>
      <c r="N252">
        <v>6.3</v>
      </c>
    </row>
    <row r="253" spans="1:14">
      <c r="A253" t="s">
        <v>257</v>
      </c>
      <c r="B253" t="s">
        <v>27</v>
      </c>
      <c r="C253" t="s">
        <v>1037</v>
      </c>
      <c r="D253" t="s">
        <v>44</v>
      </c>
      <c r="E253">
        <v>62.08</v>
      </c>
      <c r="F253">
        <v>7</v>
      </c>
      <c r="G253">
        <v>21.728000000000002</v>
      </c>
      <c r="H253">
        <v>456.28800000000001</v>
      </c>
      <c r="I253" s="1">
        <v>43530</v>
      </c>
      <c r="J253" s="1">
        <v>0.57361111111111107</v>
      </c>
      <c r="K253" t="s">
        <v>23</v>
      </c>
      <c r="L253">
        <v>434.56</v>
      </c>
      <c r="M253">
        <v>21.728000000000002</v>
      </c>
      <c r="N253">
        <v>5.4</v>
      </c>
    </row>
    <row r="254" spans="1:14">
      <c r="A254" t="s">
        <v>689</v>
      </c>
      <c r="B254" t="s">
        <v>20</v>
      </c>
      <c r="C254" t="s">
        <v>1037</v>
      </c>
      <c r="D254" t="s">
        <v>36</v>
      </c>
      <c r="E254">
        <v>37.32</v>
      </c>
      <c r="F254">
        <v>9</v>
      </c>
      <c r="G254">
        <v>16.794</v>
      </c>
      <c r="H254">
        <v>352.67399999999998</v>
      </c>
      <c r="I254" s="1">
        <v>43530</v>
      </c>
      <c r="J254" s="1">
        <v>0.64652777777777781</v>
      </c>
      <c r="K254" t="s">
        <v>23</v>
      </c>
      <c r="L254">
        <v>335.88</v>
      </c>
      <c r="M254">
        <v>16.794</v>
      </c>
      <c r="N254">
        <v>5.0999999999999996</v>
      </c>
    </row>
    <row r="255" spans="1:14">
      <c r="A255" t="s">
        <v>1011</v>
      </c>
      <c r="B255" t="s">
        <v>20</v>
      </c>
      <c r="C255" t="s">
        <v>1037</v>
      </c>
      <c r="D255" t="s">
        <v>46</v>
      </c>
      <c r="E255">
        <v>49.92</v>
      </c>
      <c r="F255">
        <v>2</v>
      </c>
      <c r="G255">
        <v>4.992</v>
      </c>
      <c r="H255">
        <v>104.83199999999999</v>
      </c>
      <c r="I255" s="1">
        <v>43530</v>
      </c>
      <c r="J255" s="1">
        <v>0.49652777777777779</v>
      </c>
      <c r="K255" t="s">
        <v>33</v>
      </c>
      <c r="L255">
        <v>99.84</v>
      </c>
      <c r="M255">
        <v>4.992</v>
      </c>
      <c r="N255">
        <v>7</v>
      </c>
    </row>
    <row r="256" spans="1:14">
      <c r="A256" t="s">
        <v>193</v>
      </c>
      <c r="B256" t="s">
        <v>27</v>
      </c>
      <c r="C256" t="s">
        <v>1037</v>
      </c>
      <c r="D256" t="s">
        <v>32</v>
      </c>
      <c r="E256">
        <v>50.28</v>
      </c>
      <c r="F256">
        <v>5</v>
      </c>
      <c r="G256">
        <v>12.57</v>
      </c>
      <c r="H256">
        <v>263.97000000000003</v>
      </c>
      <c r="I256" s="1">
        <v>43531</v>
      </c>
      <c r="J256" s="1">
        <v>0.58194444444444449</v>
      </c>
      <c r="K256" t="s">
        <v>23</v>
      </c>
      <c r="L256">
        <v>251.4</v>
      </c>
      <c r="M256">
        <v>12.57</v>
      </c>
      <c r="N256">
        <v>9.6999999999999993</v>
      </c>
    </row>
    <row r="257" spans="1:14">
      <c r="A257" t="s">
        <v>90</v>
      </c>
      <c r="B257" t="s">
        <v>27</v>
      </c>
      <c r="C257" t="s">
        <v>1037</v>
      </c>
      <c r="D257" t="s">
        <v>32</v>
      </c>
      <c r="E257">
        <v>16.16</v>
      </c>
      <c r="F257">
        <v>2</v>
      </c>
      <c r="G257">
        <v>1.6160000000000001</v>
      </c>
      <c r="H257">
        <v>33.936</v>
      </c>
      <c r="I257" s="1">
        <v>43531</v>
      </c>
      <c r="J257" s="1">
        <v>0.49236111111111114</v>
      </c>
      <c r="K257" t="s">
        <v>23</v>
      </c>
      <c r="L257">
        <v>32.32</v>
      </c>
      <c r="M257">
        <v>1.6160000000000001</v>
      </c>
      <c r="N257">
        <v>6.5</v>
      </c>
    </row>
    <row r="258" spans="1:14">
      <c r="A258" t="s">
        <v>674</v>
      </c>
      <c r="B258" t="s">
        <v>20</v>
      </c>
      <c r="C258" t="s">
        <v>1036</v>
      </c>
      <c r="D258" t="s">
        <v>44</v>
      </c>
      <c r="E258">
        <v>17.63</v>
      </c>
      <c r="F258">
        <v>5</v>
      </c>
      <c r="G258">
        <v>4.4074999999999998</v>
      </c>
      <c r="H258">
        <v>92.557500000000005</v>
      </c>
      <c r="I258" s="1">
        <v>43532</v>
      </c>
      <c r="J258" s="1">
        <v>0.64375000000000004</v>
      </c>
      <c r="K258" t="s">
        <v>29</v>
      </c>
      <c r="L258">
        <v>88.15</v>
      </c>
      <c r="M258">
        <v>4.4074999999999998</v>
      </c>
      <c r="N258">
        <v>8.5</v>
      </c>
    </row>
    <row r="259" spans="1:14">
      <c r="A259" t="s">
        <v>765</v>
      </c>
      <c r="B259" t="s">
        <v>20</v>
      </c>
      <c r="C259" t="s">
        <v>1036</v>
      </c>
      <c r="D259" t="s">
        <v>32</v>
      </c>
      <c r="E259">
        <v>52.18</v>
      </c>
      <c r="F259">
        <v>7</v>
      </c>
      <c r="G259">
        <v>18.263000000000002</v>
      </c>
      <c r="H259">
        <v>383.52300000000002</v>
      </c>
      <c r="I259" s="1">
        <v>43533</v>
      </c>
      <c r="J259" s="1">
        <v>0.45416666666666666</v>
      </c>
      <c r="K259" t="s">
        <v>29</v>
      </c>
      <c r="L259">
        <v>365.26</v>
      </c>
      <c r="M259">
        <v>18.263000000000002</v>
      </c>
      <c r="N259">
        <v>9.3000000000000007</v>
      </c>
    </row>
    <row r="260" spans="1:14">
      <c r="A260" t="s">
        <v>47</v>
      </c>
      <c r="B260" t="s">
        <v>20</v>
      </c>
      <c r="C260" t="s">
        <v>1037</v>
      </c>
      <c r="D260" t="s">
        <v>28</v>
      </c>
      <c r="E260">
        <v>25.51</v>
      </c>
      <c r="F260">
        <v>4</v>
      </c>
      <c r="G260">
        <v>5.1020000000000003</v>
      </c>
      <c r="H260">
        <v>107.142</v>
      </c>
      <c r="I260" s="1">
        <v>43533</v>
      </c>
      <c r="J260" s="1">
        <v>0.7104166666666667</v>
      </c>
      <c r="K260" t="s">
        <v>29</v>
      </c>
      <c r="L260">
        <v>102.04</v>
      </c>
      <c r="M260">
        <v>5.1020000000000003</v>
      </c>
      <c r="N260">
        <v>6.8</v>
      </c>
    </row>
    <row r="261" spans="1:14">
      <c r="A261" t="s">
        <v>158</v>
      </c>
      <c r="B261" t="s">
        <v>20</v>
      </c>
      <c r="C261" t="s">
        <v>1037</v>
      </c>
      <c r="D261" t="s">
        <v>36</v>
      </c>
      <c r="E261">
        <v>99.96</v>
      </c>
      <c r="F261">
        <v>9</v>
      </c>
      <c r="G261">
        <v>44.981999999999999</v>
      </c>
      <c r="H261">
        <v>944.62199999999996</v>
      </c>
      <c r="I261" s="1">
        <v>43533</v>
      </c>
      <c r="J261" s="1">
        <v>0.72638888888888886</v>
      </c>
      <c r="K261" t="s">
        <v>33</v>
      </c>
      <c r="L261">
        <v>899.64</v>
      </c>
      <c r="M261">
        <v>44.981999999999999</v>
      </c>
      <c r="N261">
        <v>4.2</v>
      </c>
    </row>
    <row r="262" spans="1:14">
      <c r="A262" t="s">
        <v>160</v>
      </c>
      <c r="B262" t="s">
        <v>20</v>
      </c>
      <c r="C262" t="s">
        <v>1036</v>
      </c>
      <c r="D262" t="s">
        <v>46</v>
      </c>
      <c r="E262">
        <v>56.47</v>
      </c>
      <c r="F262">
        <v>8</v>
      </c>
      <c r="G262">
        <v>22.588000000000001</v>
      </c>
      <c r="H262">
        <v>474.34800000000001</v>
      </c>
      <c r="I262" s="1">
        <v>43533</v>
      </c>
      <c r="J262" s="1">
        <v>0.62291666666666667</v>
      </c>
      <c r="K262" t="s">
        <v>23</v>
      </c>
      <c r="L262">
        <v>451.76</v>
      </c>
      <c r="M262">
        <v>22.588000000000001</v>
      </c>
      <c r="N262">
        <v>7.3</v>
      </c>
    </row>
    <row r="263" spans="1:14">
      <c r="A263" t="s">
        <v>469</v>
      </c>
      <c r="B263" t="s">
        <v>27</v>
      </c>
      <c r="C263" t="s">
        <v>1037</v>
      </c>
      <c r="D263" t="s">
        <v>46</v>
      </c>
      <c r="E263">
        <v>95.54</v>
      </c>
      <c r="F263">
        <v>7</v>
      </c>
      <c r="G263">
        <v>33.439</v>
      </c>
      <c r="H263">
        <v>702.21900000000005</v>
      </c>
      <c r="I263" s="1">
        <v>43533</v>
      </c>
      <c r="J263" s="1">
        <v>0.60833333333333328</v>
      </c>
      <c r="K263" t="s">
        <v>33</v>
      </c>
      <c r="L263">
        <v>668.78</v>
      </c>
      <c r="M263">
        <v>33.439</v>
      </c>
      <c r="N263">
        <v>9.6</v>
      </c>
    </row>
    <row r="264" spans="1:14">
      <c r="A264" t="s">
        <v>81</v>
      </c>
      <c r="B264" t="s">
        <v>20</v>
      </c>
      <c r="C264" t="s">
        <v>1036</v>
      </c>
      <c r="D264" t="s">
        <v>28</v>
      </c>
      <c r="E264">
        <v>93.96</v>
      </c>
      <c r="F264">
        <v>4</v>
      </c>
      <c r="G264">
        <v>18.792000000000002</v>
      </c>
      <c r="H264">
        <v>394.63200000000001</v>
      </c>
      <c r="I264" s="1">
        <v>43533</v>
      </c>
      <c r="J264" s="1">
        <v>0.75</v>
      </c>
      <c r="K264" t="s">
        <v>29</v>
      </c>
      <c r="L264">
        <v>375.84</v>
      </c>
      <c r="M264">
        <v>18.792000000000002</v>
      </c>
      <c r="N264">
        <v>9.5</v>
      </c>
    </row>
    <row r="265" spans="1:14">
      <c r="A265" t="s">
        <v>1014</v>
      </c>
      <c r="B265" t="s">
        <v>27</v>
      </c>
      <c r="C265" t="s">
        <v>1036</v>
      </c>
      <c r="D265" t="s">
        <v>28</v>
      </c>
      <c r="E265">
        <v>25.45</v>
      </c>
      <c r="F265">
        <v>1</v>
      </c>
      <c r="G265">
        <v>1.2725</v>
      </c>
      <c r="H265">
        <v>26.7225</v>
      </c>
      <c r="I265" s="1">
        <v>43534</v>
      </c>
      <c r="J265" s="1">
        <v>0.75694444444444442</v>
      </c>
      <c r="K265" t="s">
        <v>33</v>
      </c>
      <c r="L265">
        <v>25.45</v>
      </c>
      <c r="M265">
        <v>1.2725</v>
      </c>
      <c r="N265">
        <v>5.0999999999999996</v>
      </c>
    </row>
    <row r="266" spans="1:14">
      <c r="A266" t="s">
        <v>425</v>
      </c>
      <c r="B266" t="s">
        <v>27</v>
      </c>
      <c r="C266" t="s">
        <v>1037</v>
      </c>
      <c r="D266" t="s">
        <v>44</v>
      </c>
      <c r="E266">
        <v>18.22</v>
      </c>
      <c r="F266">
        <v>7</v>
      </c>
      <c r="G266">
        <v>6.3769999999999998</v>
      </c>
      <c r="H266">
        <v>133.917</v>
      </c>
      <c r="I266" s="1">
        <v>43534</v>
      </c>
      <c r="J266" s="1">
        <v>0.58611111111111114</v>
      </c>
      <c r="K266" t="s">
        <v>33</v>
      </c>
      <c r="L266">
        <v>127.54</v>
      </c>
      <c r="M266">
        <v>6.3769999999999998</v>
      </c>
      <c r="N266">
        <v>6.6</v>
      </c>
    </row>
    <row r="267" spans="1:14">
      <c r="A267" t="s">
        <v>255</v>
      </c>
      <c r="B267" t="s">
        <v>27</v>
      </c>
      <c r="C267" t="s">
        <v>1036</v>
      </c>
      <c r="D267" t="s">
        <v>44</v>
      </c>
      <c r="E267">
        <v>57.34</v>
      </c>
      <c r="F267">
        <v>3</v>
      </c>
      <c r="G267">
        <v>8.6010000000000009</v>
      </c>
      <c r="H267">
        <v>180.62100000000001</v>
      </c>
      <c r="I267" s="1">
        <v>43534</v>
      </c>
      <c r="J267" s="1">
        <v>0.79097222222222219</v>
      </c>
      <c r="K267" t="s">
        <v>33</v>
      </c>
      <c r="L267">
        <v>172.02</v>
      </c>
      <c r="M267">
        <v>8.6010000000000009</v>
      </c>
      <c r="N267">
        <v>7.9</v>
      </c>
    </row>
    <row r="268" spans="1:14">
      <c r="A268" t="s">
        <v>250</v>
      </c>
      <c r="B268" t="s">
        <v>20</v>
      </c>
      <c r="C268" t="s">
        <v>1036</v>
      </c>
      <c r="D268" t="s">
        <v>36</v>
      </c>
      <c r="E268">
        <v>29.61</v>
      </c>
      <c r="F268">
        <v>7</v>
      </c>
      <c r="G268">
        <v>10.3635</v>
      </c>
      <c r="H268">
        <v>217.6335</v>
      </c>
      <c r="I268" s="1">
        <v>43535</v>
      </c>
      <c r="J268" s="1">
        <v>0.66180555555555554</v>
      </c>
      <c r="K268" t="s">
        <v>29</v>
      </c>
      <c r="L268">
        <v>207.27</v>
      </c>
      <c r="M268">
        <v>10.3635</v>
      </c>
      <c r="N268">
        <v>6.5</v>
      </c>
    </row>
    <row r="269" spans="1:14">
      <c r="A269" t="s">
        <v>1005</v>
      </c>
      <c r="B269" t="s">
        <v>20</v>
      </c>
      <c r="C269" t="s">
        <v>1036</v>
      </c>
      <c r="D269" t="s">
        <v>28</v>
      </c>
      <c r="E269">
        <v>34.49</v>
      </c>
      <c r="F269">
        <v>5</v>
      </c>
      <c r="G269">
        <v>8.6225000000000005</v>
      </c>
      <c r="H269">
        <v>181.07249999999999</v>
      </c>
      <c r="I269" s="1">
        <v>43535</v>
      </c>
      <c r="J269" s="1">
        <v>0.82222222222222219</v>
      </c>
      <c r="K269" t="s">
        <v>33</v>
      </c>
      <c r="L269">
        <v>172.45</v>
      </c>
      <c r="M269">
        <v>8.6225000000000005</v>
      </c>
      <c r="N269">
        <v>9</v>
      </c>
    </row>
    <row r="270" spans="1:14">
      <c r="A270" t="s">
        <v>55</v>
      </c>
      <c r="B270" t="s">
        <v>27</v>
      </c>
      <c r="C270" t="s">
        <v>1036</v>
      </c>
      <c r="D270" t="s">
        <v>32</v>
      </c>
      <c r="E270">
        <v>40.299999999999997</v>
      </c>
      <c r="F270">
        <v>2</v>
      </c>
      <c r="G270">
        <v>4.03</v>
      </c>
      <c r="H270">
        <v>84.63</v>
      </c>
      <c r="I270" s="1">
        <v>43535</v>
      </c>
      <c r="J270" s="1">
        <v>0.64583333333333337</v>
      </c>
      <c r="K270" t="s">
        <v>23</v>
      </c>
      <c r="L270">
        <v>80.599999999999994</v>
      </c>
      <c r="M270">
        <v>4.03</v>
      </c>
      <c r="N270">
        <v>4.4000000000000004</v>
      </c>
    </row>
    <row r="271" spans="1:14">
      <c r="A271" t="s">
        <v>129</v>
      </c>
      <c r="B271" t="s">
        <v>20</v>
      </c>
      <c r="C271" t="s">
        <v>1037</v>
      </c>
      <c r="D271" t="s">
        <v>22</v>
      </c>
      <c r="E271">
        <v>64.36</v>
      </c>
      <c r="F271">
        <v>9</v>
      </c>
      <c r="G271">
        <v>28.962</v>
      </c>
      <c r="H271">
        <v>608.202</v>
      </c>
      <c r="I271" s="1">
        <v>43536</v>
      </c>
      <c r="J271" s="1">
        <v>0.50624999999999998</v>
      </c>
      <c r="K271" t="s">
        <v>33</v>
      </c>
      <c r="L271">
        <v>579.24</v>
      </c>
      <c r="M271">
        <v>28.962</v>
      </c>
      <c r="N271">
        <v>8.6</v>
      </c>
    </row>
    <row r="272" spans="1:14">
      <c r="A272" t="s">
        <v>267</v>
      </c>
      <c r="B272" t="s">
        <v>20</v>
      </c>
      <c r="C272" t="s">
        <v>1036</v>
      </c>
      <c r="D272" t="s">
        <v>28</v>
      </c>
      <c r="E272">
        <v>10.59</v>
      </c>
      <c r="F272">
        <v>3</v>
      </c>
      <c r="G272">
        <v>1.5885</v>
      </c>
      <c r="H272">
        <v>33.358499999999999</v>
      </c>
      <c r="I272" s="1">
        <v>43536</v>
      </c>
      <c r="J272" s="1">
        <v>0.57777777777777772</v>
      </c>
      <c r="K272" t="s">
        <v>33</v>
      </c>
      <c r="L272">
        <v>31.77</v>
      </c>
      <c r="M272">
        <v>1.5885</v>
      </c>
      <c r="N272">
        <v>8.6999999999999993</v>
      </c>
    </row>
    <row r="273" spans="1:14">
      <c r="A273" t="s">
        <v>337</v>
      </c>
      <c r="B273" t="s">
        <v>20</v>
      </c>
      <c r="C273" t="s">
        <v>1037</v>
      </c>
      <c r="D273" t="s">
        <v>22</v>
      </c>
      <c r="E273">
        <v>39.01</v>
      </c>
      <c r="F273">
        <v>1</v>
      </c>
      <c r="G273">
        <v>1.9504999999999999</v>
      </c>
      <c r="H273">
        <v>40.960500000000003</v>
      </c>
      <c r="I273" s="1">
        <v>43536</v>
      </c>
      <c r="J273" s="1">
        <v>0.69861111111111107</v>
      </c>
      <c r="K273" t="s">
        <v>33</v>
      </c>
      <c r="L273">
        <v>39.01</v>
      </c>
      <c r="M273">
        <v>1.9504999999999999</v>
      </c>
      <c r="N273">
        <v>4.7</v>
      </c>
    </row>
    <row r="274" spans="1:14">
      <c r="A274" t="s">
        <v>361</v>
      </c>
      <c r="B274" t="s">
        <v>27</v>
      </c>
      <c r="C274" t="s">
        <v>1037</v>
      </c>
      <c r="D274" t="s">
        <v>36</v>
      </c>
      <c r="E274">
        <v>97.74</v>
      </c>
      <c r="F274">
        <v>4</v>
      </c>
      <c r="G274">
        <v>19.547999999999998</v>
      </c>
      <c r="H274">
        <v>410.50799999999998</v>
      </c>
      <c r="I274" s="1">
        <v>43536</v>
      </c>
      <c r="J274" s="1">
        <v>0.82847222222222228</v>
      </c>
      <c r="K274" t="s">
        <v>23</v>
      </c>
      <c r="L274">
        <v>390.96</v>
      </c>
      <c r="M274">
        <v>19.547999999999998</v>
      </c>
      <c r="N274">
        <v>6.4</v>
      </c>
    </row>
    <row r="275" spans="1:14">
      <c r="A275" t="s">
        <v>870</v>
      </c>
      <c r="B275" t="s">
        <v>20</v>
      </c>
      <c r="C275" t="s">
        <v>1036</v>
      </c>
      <c r="D275" t="s">
        <v>32</v>
      </c>
      <c r="E275">
        <v>40.729999999999997</v>
      </c>
      <c r="F275">
        <v>7</v>
      </c>
      <c r="G275">
        <v>14.2555</v>
      </c>
      <c r="H275">
        <v>299.3655</v>
      </c>
      <c r="I275" s="1">
        <v>43536</v>
      </c>
      <c r="J275" s="1">
        <v>0.45902777777777776</v>
      </c>
      <c r="K275" t="s">
        <v>23</v>
      </c>
      <c r="L275">
        <v>285.11</v>
      </c>
      <c r="M275">
        <v>14.2555</v>
      </c>
      <c r="N275">
        <v>5.4</v>
      </c>
    </row>
    <row r="276" spans="1:14">
      <c r="A276" t="s">
        <v>298</v>
      </c>
      <c r="B276" t="s">
        <v>20</v>
      </c>
      <c r="C276" t="s">
        <v>1036</v>
      </c>
      <c r="D276" t="s">
        <v>46</v>
      </c>
      <c r="E276">
        <v>38.299999999999997</v>
      </c>
      <c r="F276">
        <v>4</v>
      </c>
      <c r="G276">
        <v>7.66</v>
      </c>
      <c r="H276">
        <v>160.86000000000001</v>
      </c>
      <c r="I276" s="1">
        <v>43537</v>
      </c>
      <c r="J276" s="1">
        <v>0.80694444444444446</v>
      </c>
      <c r="K276" t="s">
        <v>29</v>
      </c>
      <c r="L276">
        <v>153.19999999999999</v>
      </c>
      <c r="M276">
        <v>7.66</v>
      </c>
      <c r="N276">
        <v>5.7</v>
      </c>
    </row>
    <row r="277" spans="1:14">
      <c r="A277" t="s">
        <v>330</v>
      </c>
      <c r="B277" t="s">
        <v>27</v>
      </c>
      <c r="C277" t="s">
        <v>1037</v>
      </c>
      <c r="D277" t="s">
        <v>22</v>
      </c>
      <c r="E277">
        <v>18.11</v>
      </c>
      <c r="F277">
        <v>10</v>
      </c>
      <c r="G277">
        <v>9.0549999999999997</v>
      </c>
      <c r="H277">
        <v>190.155</v>
      </c>
      <c r="I277" s="1">
        <v>43537</v>
      </c>
      <c r="J277" s="1">
        <v>0.49027777777777776</v>
      </c>
      <c r="K277" t="s">
        <v>23</v>
      </c>
      <c r="L277">
        <v>181.1</v>
      </c>
      <c r="M277">
        <v>9.0549999999999997</v>
      </c>
      <c r="N277">
        <v>5.9</v>
      </c>
    </row>
    <row r="278" spans="1:14">
      <c r="A278" t="s">
        <v>526</v>
      </c>
      <c r="B278" t="s">
        <v>27</v>
      </c>
      <c r="C278" t="s">
        <v>1036</v>
      </c>
      <c r="D278" t="s">
        <v>46</v>
      </c>
      <c r="E278">
        <v>34.700000000000003</v>
      </c>
      <c r="F278">
        <v>2</v>
      </c>
      <c r="G278">
        <v>3.47</v>
      </c>
      <c r="H278">
        <v>72.87</v>
      </c>
      <c r="I278" s="1">
        <v>43537</v>
      </c>
      <c r="J278" s="1">
        <v>0.82499999999999996</v>
      </c>
      <c r="K278" t="s">
        <v>23</v>
      </c>
      <c r="L278">
        <v>69.400000000000006</v>
      </c>
      <c r="M278">
        <v>3.47</v>
      </c>
      <c r="N278">
        <v>8.1999999999999993</v>
      </c>
    </row>
    <row r="279" spans="1:14">
      <c r="A279" t="s">
        <v>663</v>
      </c>
      <c r="B279" t="s">
        <v>20</v>
      </c>
      <c r="C279" t="s">
        <v>1037</v>
      </c>
      <c r="D279" t="s">
        <v>22</v>
      </c>
      <c r="E279">
        <v>82.58</v>
      </c>
      <c r="F279">
        <v>10</v>
      </c>
      <c r="G279">
        <v>41.29</v>
      </c>
      <c r="H279">
        <v>867.09</v>
      </c>
      <c r="I279" s="1">
        <v>43538</v>
      </c>
      <c r="J279" s="1">
        <v>0.6118055555555556</v>
      </c>
      <c r="K279" t="s">
        <v>29</v>
      </c>
      <c r="L279">
        <v>825.8</v>
      </c>
      <c r="M279">
        <v>41.29</v>
      </c>
      <c r="N279">
        <v>5</v>
      </c>
    </row>
    <row r="280" spans="1:14">
      <c r="A280" t="s">
        <v>388</v>
      </c>
      <c r="B280" t="s">
        <v>20</v>
      </c>
      <c r="C280" t="s">
        <v>1036</v>
      </c>
      <c r="D280" t="s">
        <v>46</v>
      </c>
      <c r="E280">
        <v>54.73</v>
      </c>
      <c r="F280">
        <v>7</v>
      </c>
      <c r="G280">
        <v>19.1555</v>
      </c>
      <c r="H280">
        <v>402.26549999999997</v>
      </c>
      <c r="I280" s="1">
        <v>43538</v>
      </c>
      <c r="J280" s="1">
        <v>0.79305555555555551</v>
      </c>
      <c r="K280" t="s">
        <v>33</v>
      </c>
      <c r="L280">
        <v>383.11</v>
      </c>
      <c r="M280">
        <v>19.1555</v>
      </c>
      <c r="N280">
        <v>8.5</v>
      </c>
    </row>
    <row r="281" spans="1:14">
      <c r="A281" t="s">
        <v>786</v>
      </c>
      <c r="B281" t="s">
        <v>20</v>
      </c>
      <c r="C281" t="s">
        <v>1036</v>
      </c>
      <c r="D281" t="s">
        <v>46</v>
      </c>
      <c r="E281">
        <v>22.32</v>
      </c>
      <c r="F281">
        <v>4</v>
      </c>
      <c r="G281">
        <v>4.4640000000000004</v>
      </c>
      <c r="H281">
        <v>93.744</v>
      </c>
      <c r="I281" s="1">
        <v>43538</v>
      </c>
      <c r="J281" s="1">
        <v>0.46944444444444444</v>
      </c>
      <c r="K281" t="s">
        <v>23</v>
      </c>
      <c r="L281">
        <v>89.28</v>
      </c>
      <c r="M281">
        <v>4.4640000000000004</v>
      </c>
      <c r="N281">
        <v>4.0999999999999996</v>
      </c>
    </row>
    <row r="282" spans="1:14">
      <c r="A282" t="s">
        <v>596</v>
      </c>
      <c r="B282" t="s">
        <v>27</v>
      </c>
      <c r="C282" t="s">
        <v>1037</v>
      </c>
      <c r="D282" t="s">
        <v>28</v>
      </c>
      <c r="E282">
        <v>21.58</v>
      </c>
      <c r="F282">
        <v>9</v>
      </c>
      <c r="G282">
        <v>9.7110000000000003</v>
      </c>
      <c r="H282">
        <v>203.93100000000001</v>
      </c>
      <c r="I282" s="1">
        <v>43538</v>
      </c>
      <c r="J282" s="1">
        <v>0.52222222222222225</v>
      </c>
      <c r="K282" t="s">
        <v>29</v>
      </c>
      <c r="L282">
        <v>194.22</v>
      </c>
      <c r="M282">
        <v>9.7110000000000003</v>
      </c>
      <c r="N282">
        <v>7.3</v>
      </c>
    </row>
    <row r="283" spans="1:14">
      <c r="A283" t="s">
        <v>851</v>
      </c>
      <c r="B283" t="s">
        <v>27</v>
      </c>
      <c r="C283" t="s">
        <v>1036</v>
      </c>
      <c r="D283" t="s">
        <v>44</v>
      </c>
      <c r="E283">
        <v>53.21</v>
      </c>
      <c r="F283">
        <v>8</v>
      </c>
      <c r="G283">
        <v>21.283999999999999</v>
      </c>
      <c r="H283">
        <v>446.964</v>
      </c>
      <c r="I283" s="1">
        <v>43538</v>
      </c>
      <c r="J283" s="1">
        <v>0.69791666666666663</v>
      </c>
      <c r="K283" t="s">
        <v>23</v>
      </c>
      <c r="L283">
        <v>425.68</v>
      </c>
      <c r="M283">
        <v>21.283999999999999</v>
      </c>
      <c r="N283">
        <v>5</v>
      </c>
    </row>
    <row r="284" spans="1:14">
      <c r="A284" t="s">
        <v>58</v>
      </c>
      <c r="B284" t="s">
        <v>27</v>
      </c>
      <c r="C284" t="s">
        <v>1037</v>
      </c>
      <c r="D284" t="s">
        <v>32</v>
      </c>
      <c r="E284">
        <v>33.200000000000003</v>
      </c>
      <c r="F284">
        <v>2</v>
      </c>
      <c r="G284">
        <v>3.32</v>
      </c>
      <c r="H284">
        <v>69.72</v>
      </c>
      <c r="I284" s="1">
        <v>43539</v>
      </c>
      <c r="J284" s="1">
        <v>0.51388888888888884</v>
      </c>
      <c r="K284" t="s">
        <v>33</v>
      </c>
      <c r="L284">
        <v>66.400000000000006</v>
      </c>
      <c r="M284">
        <v>3.32</v>
      </c>
      <c r="N284">
        <v>4.4000000000000004</v>
      </c>
    </row>
    <row r="285" spans="1:14">
      <c r="A285" t="s">
        <v>630</v>
      </c>
      <c r="B285" t="s">
        <v>20</v>
      </c>
      <c r="C285" t="s">
        <v>1037</v>
      </c>
      <c r="D285" t="s">
        <v>36</v>
      </c>
      <c r="E285">
        <v>96.8</v>
      </c>
      <c r="F285">
        <v>3</v>
      </c>
      <c r="G285">
        <v>14.52</v>
      </c>
      <c r="H285">
        <v>304.92</v>
      </c>
      <c r="I285" s="1">
        <v>43539</v>
      </c>
      <c r="J285" s="1">
        <v>0.54513888888888884</v>
      </c>
      <c r="K285" t="s">
        <v>29</v>
      </c>
      <c r="L285">
        <v>290.39999999999998</v>
      </c>
      <c r="M285">
        <v>14.52</v>
      </c>
      <c r="N285">
        <v>5.3</v>
      </c>
    </row>
    <row r="286" spans="1:14">
      <c r="A286" t="s">
        <v>433</v>
      </c>
      <c r="B286" t="s">
        <v>27</v>
      </c>
      <c r="C286" t="s">
        <v>1037</v>
      </c>
      <c r="D286" t="s">
        <v>32</v>
      </c>
      <c r="E286">
        <v>13.59</v>
      </c>
      <c r="F286">
        <v>9</v>
      </c>
      <c r="G286">
        <v>6.1154999999999999</v>
      </c>
      <c r="H286">
        <v>128.4255</v>
      </c>
      <c r="I286" s="1">
        <v>43539</v>
      </c>
      <c r="J286" s="1">
        <v>0.43472222222222223</v>
      </c>
      <c r="K286" t="s">
        <v>29</v>
      </c>
      <c r="L286">
        <v>122.31</v>
      </c>
      <c r="M286">
        <v>6.1154999999999999</v>
      </c>
      <c r="N286">
        <v>5.8</v>
      </c>
    </row>
    <row r="287" spans="1:14">
      <c r="A287" t="s">
        <v>902</v>
      </c>
      <c r="B287" t="s">
        <v>20</v>
      </c>
      <c r="C287" t="s">
        <v>1037</v>
      </c>
      <c r="D287" t="s">
        <v>36</v>
      </c>
      <c r="E287">
        <v>90.53</v>
      </c>
      <c r="F287">
        <v>8</v>
      </c>
      <c r="G287">
        <v>36.212000000000003</v>
      </c>
      <c r="H287">
        <v>760.452</v>
      </c>
      <c r="I287" s="1">
        <v>43539</v>
      </c>
      <c r="J287" s="1">
        <v>0.6166666666666667</v>
      </c>
      <c r="K287" t="s">
        <v>33</v>
      </c>
      <c r="L287">
        <v>724.24</v>
      </c>
      <c r="M287">
        <v>36.212000000000003</v>
      </c>
      <c r="N287">
        <v>6.5</v>
      </c>
    </row>
    <row r="288" spans="1:14">
      <c r="A288" t="s">
        <v>846</v>
      </c>
      <c r="B288" t="s">
        <v>27</v>
      </c>
      <c r="C288" t="s">
        <v>1037</v>
      </c>
      <c r="D288" t="s">
        <v>22</v>
      </c>
      <c r="E288">
        <v>10.75</v>
      </c>
      <c r="F288">
        <v>8</v>
      </c>
      <c r="G288">
        <v>4.3</v>
      </c>
      <c r="H288">
        <v>90.3</v>
      </c>
      <c r="I288" s="1">
        <v>43539</v>
      </c>
      <c r="J288" s="1">
        <v>0.60972222222222228</v>
      </c>
      <c r="K288" t="s">
        <v>23</v>
      </c>
      <c r="L288">
        <v>86</v>
      </c>
      <c r="M288">
        <v>4.3</v>
      </c>
      <c r="N288">
        <v>6.2</v>
      </c>
    </row>
    <row r="289" spans="1:14">
      <c r="A289" t="s">
        <v>237</v>
      </c>
      <c r="B289" t="s">
        <v>20</v>
      </c>
      <c r="C289" t="s">
        <v>1036</v>
      </c>
      <c r="D289" t="s">
        <v>28</v>
      </c>
      <c r="E289">
        <v>57.49</v>
      </c>
      <c r="F289">
        <v>4</v>
      </c>
      <c r="G289">
        <v>11.497999999999999</v>
      </c>
      <c r="H289">
        <v>241.458</v>
      </c>
      <c r="I289" s="1">
        <v>43539</v>
      </c>
      <c r="J289" s="1">
        <v>0.49791666666666667</v>
      </c>
      <c r="K289" t="s">
        <v>29</v>
      </c>
      <c r="L289">
        <v>229.96</v>
      </c>
      <c r="M289">
        <v>11.497999999999999</v>
      </c>
      <c r="N289">
        <v>6.6</v>
      </c>
    </row>
    <row r="290" spans="1:14">
      <c r="A290" t="s">
        <v>831</v>
      </c>
      <c r="B290" t="s">
        <v>27</v>
      </c>
      <c r="C290" t="s">
        <v>1037</v>
      </c>
      <c r="D290" t="s">
        <v>46</v>
      </c>
      <c r="E290">
        <v>27.18</v>
      </c>
      <c r="F290">
        <v>2</v>
      </c>
      <c r="G290">
        <v>2.718</v>
      </c>
      <c r="H290">
        <v>57.078000000000003</v>
      </c>
      <c r="I290" s="1">
        <v>43539</v>
      </c>
      <c r="J290" s="1">
        <v>0.68472222222222223</v>
      </c>
      <c r="K290" t="s">
        <v>23</v>
      </c>
      <c r="L290">
        <v>54.36</v>
      </c>
      <c r="M290">
        <v>2.718</v>
      </c>
      <c r="N290">
        <v>4.3</v>
      </c>
    </row>
    <row r="291" spans="1:14">
      <c r="A291" t="s">
        <v>834</v>
      </c>
      <c r="B291" t="s">
        <v>27</v>
      </c>
      <c r="C291" t="s">
        <v>1037</v>
      </c>
      <c r="D291" t="s">
        <v>22</v>
      </c>
      <c r="E291">
        <v>92.78</v>
      </c>
      <c r="F291">
        <v>1</v>
      </c>
      <c r="G291">
        <v>4.6390000000000002</v>
      </c>
      <c r="H291">
        <v>97.418999999999997</v>
      </c>
      <c r="I291" s="1">
        <v>43539</v>
      </c>
      <c r="J291" s="1">
        <v>0.4513888888888889</v>
      </c>
      <c r="K291" t="s">
        <v>33</v>
      </c>
      <c r="L291">
        <v>92.78</v>
      </c>
      <c r="M291">
        <v>4.6390000000000002</v>
      </c>
      <c r="N291">
        <v>9.8000000000000007</v>
      </c>
    </row>
    <row r="292" spans="1:14">
      <c r="A292" t="s">
        <v>804</v>
      </c>
      <c r="B292" t="s">
        <v>27</v>
      </c>
      <c r="C292" t="s">
        <v>1036</v>
      </c>
      <c r="D292" t="s">
        <v>28</v>
      </c>
      <c r="E292">
        <v>95.64</v>
      </c>
      <c r="F292">
        <v>4</v>
      </c>
      <c r="G292">
        <v>19.128</v>
      </c>
      <c r="H292">
        <v>401.68799999999999</v>
      </c>
      <c r="I292" s="1">
        <v>43540</v>
      </c>
      <c r="J292" s="1">
        <v>0.78541666666666665</v>
      </c>
      <c r="K292" t="s">
        <v>29</v>
      </c>
      <c r="L292">
        <v>382.56</v>
      </c>
      <c r="M292">
        <v>19.128</v>
      </c>
      <c r="N292">
        <v>7.9</v>
      </c>
    </row>
    <row r="293" spans="1:14">
      <c r="A293" t="s">
        <v>395</v>
      </c>
      <c r="B293" t="s">
        <v>27</v>
      </c>
      <c r="C293" t="s">
        <v>1037</v>
      </c>
      <c r="D293" t="s">
        <v>36</v>
      </c>
      <c r="E293">
        <v>74.97</v>
      </c>
      <c r="F293">
        <v>1</v>
      </c>
      <c r="G293">
        <v>3.7484999999999999</v>
      </c>
      <c r="H293">
        <v>78.718500000000006</v>
      </c>
      <c r="I293" s="1">
        <v>43540</v>
      </c>
      <c r="J293" s="1">
        <v>0.70694444444444449</v>
      </c>
      <c r="K293" t="s">
        <v>29</v>
      </c>
      <c r="L293">
        <v>74.97</v>
      </c>
      <c r="M293">
        <v>3.7484999999999999</v>
      </c>
      <c r="N293">
        <v>5.6</v>
      </c>
    </row>
    <row r="294" spans="1:14">
      <c r="A294" t="s">
        <v>514</v>
      </c>
      <c r="B294" t="s">
        <v>27</v>
      </c>
      <c r="C294" t="s">
        <v>1037</v>
      </c>
      <c r="D294" t="s">
        <v>36</v>
      </c>
      <c r="E294">
        <v>34.369999999999997</v>
      </c>
      <c r="F294">
        <v>10</v>
      </c>
      <c r="G294">
        <v>17.184999999999999</v>
      </c>
      <c r="H294">
        <v>360.88499999999999</v>
      </c>
      <c r="I294" s="1">
        <v>43540</v>
      </c>
      <c r="J294" s="1">
        <v>0.42430555555555555</v>
      </c>
      <c r="K294" t="s">
        <v>23</v>
      </c>
      <c r="L294">
        <v>343.7</v>
      </c>
      <c r="M294">
        <v>17.184999999999999</v>
      </c>
      <c r="N294">
        <v>6.7</v>
      </c>
    </row>
    <row r="295" spans="1:14">
      <c r="A295" t="s">
        <v>639</v>
      </c>
      <c r="B295" t="s">
        <v>27</v>
      </c>
      <c r="C295" t="s">
        <v>1036</v>
      </c>
      <c r="D295" t="s">
        <v>36</v>
      </c>
      <c r="E295">
        <v>54.51</v>
      </c>
      <c r="F295">
        <v>6</v>
      </c>
      <c r="G295">
        <v>16.353000000000002</v>
      </c>
      <c r="H295">
        <v>343.41300000000001</v>
      </c>
      <c r="I295" s="1">
        <v>43541</v>
      </c>
      <c r="J295" s="1">
        <v>0.57916666666666672</v>
      </c>
      <c r="K295" t="s">
        <v>23</v>
      </c>
      <c r="L295">
        <v>327.06</v>
      </c>
      <c r="M295">
        <v>16.353000000000002</v>
      </c>
      <c r="N295">
        <v>7.8</v>
      </c>
    </row>
    <row r="296" spans="1:14">
      <c r="A296" t="s">
        <v>898</v>
      </c>
      <c r="B296" t="s">
        <v>27</v>
      </c>
      <c r="C296" t="s">
        <v>1036</v>
      </c>
      <c r="D296" t="s">
        <v>32</v>
      </c>
      <c r="E296">
        <v>11.28</v>
      </c>
      <c r="F296">
        <v>9</v>
      </c>
      <c r="G296">
        <v>5.0759999999999996</v>
      </c>
      <c r="H296">
        <v>106.596</v>
      </c>
      <c r="I296" s="1">
        <v>43541</v>
      </c>
      <c r="J296" s="1">
        <v>0.49652777777777779</v>
      </c>
      <c r="K296" t="s">
        <v>33</v>
      </c>
      <c r="L296">
        <v>101.52</v>
      </c>
      <c r="M296">
        <v>5.0759999999999996</v>
      </c>
      <c r="N296">
        <v>4.3</v>
      </c>
    </row>
    <row r="297" spans="1:14">
      <c r="A297" t="s">
        <v>669</v>
      </c>
      <c r="B297" t="s">
        <v>27</v>
      </c>
      <c r="C297" t="s">
        <v>1037</v>
      </c>
      <c r="D297" t="s">
        <v>32</v>
      </c>
      <c r="E297">
        <v>99.7</v>
      </c>
      <c r="F297">
        <v>3</v>
      </c>
      <c r="G297">
        <v>14.955</v>
      </c>
      <c r="H297">
        <v>314.05500000000001</v>
      </c>
      <c r="I297" s="1">
        <v>43542</v>
      </c>
      <c r="J297" s="1">
        <v>0.47847222222222224</v>
      </c>
      <c r="K297" t="s">
        <v>23</v>
      </c>
      <c r="L297">
        <v>299.10000000000002</v>
      </c>
      <c r="M297">
        <v>14.955</v>
      </c>
      <c r="N297">
        <v>4.7</v>
      </c>
    </row>
    <row r="298" spans="1:14">
      <c r="A298" t="s">
        <v>758</v>
      </c>
      <c r="B298" t="s">
        <v>27</v>
      </c>
      <c r="C298" t="s">
        <v>1037</v>
      </c>
      <c r="D298" t="s">
        <v>32</v>
      </c>
      <c r="E298">
        <v>44.12</v>
      </c>
      <c r="F298">
        <v>3</v>
      </c>
      <c r="G298">
        <v>6.6180000000000003</v>
      </c>
      <c r="H298">
        <v>138.97800000000001</v>
      </c>
      <c r="I298" s="1">
        <v>43542</v>
      </c>
      <c r="J298" s="1">
        <v>0.57291666666666663</v>
      </c>
      <c r="K298" t="s">
        <v>33</v>
      </c>
      <c r="L298">
        <v>132.36000000000001</v>
      </c>
      <c r="M298">
        <v>6.6180000000000003</v>
      </c>
      <c r="N298">
        <v>7.9</v>
      </c>
    </row>
    <row r="299" spans="1:14">
      <c r="A299" t="s">
        <v>581</v>
      </c>
      <c r="B299" t="s">
        <v>20</v>
      </c>
      <c r="C299" t="s">
        <v>1037</v>
      </c>
      <c r="D299" t="s">
        <v>32</v>
      </c>
      <c r="E299">
        <v>38.81</v>
      </c>
      <c r="F299">
        <v>4</v>
      </c>
      <c r="G299">
        <v>7.7619999999999996</v>
      </c>
      <c r="H299">
        <v>163.00200000000001</v>
      </c>
      <c r="I299" s="1">
        <v>43543</v>
      </c>
      <c r="J299" s="1">
        <v>0.56944444444444442</v>
      </c>
      <c r="K299" t="s">
        <v>23</v>
      </c>
      <c r="L299">
        <v>155.24</v>
      </c>
      <c r="M299">
        <v>7.7619999999999996</v>
      </c>
      <c r="N299">
        <v>4.9000000000000004</v>
      </c>
    </row>
    <row r="300" spans="1:14">
      <c r="A300" t="s">
        <v>459</v>
      </c>
      <c r="B300" t="s">
        <v>20</v>
      </c>
      <c r="C300" t="s">
        <v>1037</v>
      </c>
      <c r="D300" t="s">
        <v>46</v>
      </c>
      <c r="E300">
        <v>25.42</v>
      </c>
      <c r="F300">
        <v>8</v>
      </c>
      <c r="G300">
        <v>10.167999999999999</v>
      </c>
      <c r="H300">
        <v>213.52799999999999</v>
      </c>
      <c r="I300" s="1">
        <v>43543</v>
      </c>
      <c r="J300" s="1">
        <v>0.8208333333333333</v>
      </c>
      <c r="K300" t="s">
        <v>33</v>
      </c>
      <c r="L300">
        <v>203.36</v>
      </c>
      <c r="M300">
        <v>10.167999999999999</v>
      </c>
      <c r="N300">
        <v>6.7</v>
      </c>
    </row>
    <row r="301" spans="1:14">
      <c r="A301" t="s">
        <v>140</v>
      </c>
      <c r="B301" t="s">
        <v>27</v>
      </c>
      <c r="C301" t="s">
        <v>1037</v>
      </c>
      <c r="D301" t="s">
        <v>22</v>
      </c>
      <c r="E301">
        <v>30.35</v>
      </c>
      <c r="F301">
        <v>7</v>
      </c>
      <c r="G301">
        <v>10.6225</v>
      </c>
      <c r="H301">
        <v>223.07249999999999</v>
      </c>
      <c r="I301" s="1">
        <v>43543</v>
      </c>
      <c r="J301" s="1">
        <v>0.7631944444444444</v>
      </c>
      <c r="K301" t="s">
        <v>29</v>
      </c>
      <c r="L301">
        <v>212.45</v>
      </c>
      <c r="M301">
        <v>10.6225</v>
      </c>
      <c r="N301">
        <v>8</v>
      </c>
    </row>
    <row r="302" spans="1:14">
      <c r="A302" t="s">
        <v>600</v>
      </c>
      <c r="B302" t="s">
        <v>27</v>
      </c>
      <c r="C302" t="s">
        <v>1037</v>
      </c>
      <c r="D302" t="s">
        <v>46</v>
      </c>
      <c r="E302">
        <v>99.25</v>
      </c>
      <c r="F302">
        <v>2</v>
      </c>
      <c r="G302">
        <v>9.9250000000000007</v>
      </c>
      <c r="H302">
        <v>208.42500000000001</v>
      </c>
      <c r="I302" s="1">
        <v>43544</v>
      </c>
      <c r="J302" s="1">
        <v>0.54305555555555551</v>
      </c>
      <c r="K302" t="s">
        <v>29</v>
      </c>
      <c r="L302">
        <v>198.5</v>
      </c>
      <c r="M302">
        <v>9.9250000000000007</v>
      </c>
      <c r="N302">
        <v>9</v>
      </c>
    </row>
    <row r="303" spans="1:14">
      <c r="A303" t="s">
        <v>463</v>
      </c>
      <c r="B303" t="s">
        <v>20</v>
      </c>
      <c r="C303" t="s">
        <v>1036</v>
      </c>
      <c r="D303" t="s">
        <v>44</v>
      </c>
      <c r="E303">
        <v>20.87</v>
      </c>
      <c r="F303">
        <v>3</v>
      </c>
      <c r="G303">
        <v>3.1305000000000001</v>
      </c>
      <c r="H303">
        <v>65.740499999999997</v>
      </c>
      <c r="I303" s="1">
        <v>43544</v>
      </c>
      <c r="J303" s="1">
        <v>0.57847222222222228</v>
      </c>
      <c r="K303" t="s">
        <v>33</v>
      </c>
      <c r="L303">
        <v>62.61</v>
      </c>
      <c r="M303">
        <v>3.1305000000000001</v>
      </c>
      <c r="N303">
        <v>8</v>
      </c>
    </row>
    <row r="304" spans="1:14">
      <c r="A304" t="s">
        <v>531</v>
      </c>
      <c r="B304" t="s">
        <v>27</v>
      </c>
      <c r="C304" t="s">
        <v>1037</v>
      </c>
      <c r="D304" t="s">
        <v>36</v>
      </c>
      <c r="E304">
        <v>75.92</v>
      </c>
      <c r="F304">
        <v>8</v>
      </c>
      <c r="G304">
        <v>30.367999999999999</v>
      </c>
      <c r="H304">
        <v>637.72799999999995</v>
      </c>
      <c r="I304" s="1">
        <v>43544</v>
      </c>
      <c r="J304" s="1">
        <v>0.59305555555555556</v>
      </c>
      <c r="K304" t="s">
        <v>29</v>
      </c>
      <c r="L304">
        <v>607.36</v>
      </c>
      <c r="M304">
        <v>30.367999999999999</v>
      </c>
      <c r="N304">
        <v>5.5</v>
      </c>
    </row>
    <row r="305" spans="1:14">
      <c r="A305" t="s">
        <v>248</v>
      </c>
      <c r="B305" t="s">
        <v>27</v>
      </c>
      <c r="C305" t="s">
        <v>1037</v>
      </c>
      <c r="D305" t="s">
        <v>32</v>
      </c>
      <c r="E305">
        <v>92.36</v>
      </c>
      <c r="F305">
        <v>5</v>
      </c>
      <c r="G305">
        <v>23.09</v>
      </c>
      <c r="H305">
        <v>484.89</v>
      </c>
      <c r="I305" s="1">
        <v>43544</v>
      </c>
      <c r="J305" s="1">
        <v>0.80347222222222225</v>
      </c>
      <c r="K305" t="s">
        <v>23</v>
      </c>
      <c r="L305">
        <v>461.8</v>
      </c>
      <c r="M305">
        <v>23.09</v>
      </c>
      <c r="N305">
        <v>4.9000000000000004</v>
      </c>
    </row>
    <row r="306" spans="1:14">
      <c r="A306" t="s">
        <v>670</v>
      </c>
      <c r="B306" t="s">
        <v>20</v>
      </c>
      <c r="C306" t="s">
        <v>1037</v>
      </c>
      <c r="D306" t="s">
        <v>44</v>
      </c>
      <c r="E306">
        <v>79.91</v>
      </c>
      <c r="F306">
        <v>3</v>
      </c>
      <c r="G306">
        <v>11.986499999999999</v>
      </c>
      <c r="H306">
        <v>251.7165</v>
      </c>
      <c r="I306" s="1">
        <v>43544</v>
      </c>
      <c r="J306" s="1">
        <v>0.81111111111111112</v>
      </c>
      <c r="K306" t="s">
        <v>33</v>
      </c>
      <c r="L306">
        <v>239.73</v>
      </c>
      <c r="M306">
        <v>11.986499999999999</v>
      </c>
      <c r="N306">
        <v>5</v>
      </c>
    </row>
    <row r="307" spans="1:14">
      <c r="A307" t="s">
        <v>683</v>
      </c>
      <c r="B307" t="s">
        <v>20</v>
      </c>
      <c r="C307" t="s">
        <v>1037</v>
      </c>
      <c r="D307" t="s">
        <v>46</v>
      </c>
      <c r="E307">
        <v>33.630000000000003</v>
      </c>
      <c r="F307">
        <v>1</v>
      </c>
      <c r="G307">
        <v>1.6815</v>
      </c>
      <c r="H307">
        <v>35.311500000000002</v>
      </c>
      <c r="I307" s="1">
        <v>43544</v>
      </c>
      <c r="J307" s="1">
        <v>0.82986111111111116</v>
      </c>
      <c r="K307" t="s">
        <v>29</v>
      </c>
      <c r="L307">
        <v>33.630000000000003</v>
      </c>
      <c r="M307">
        <v>1.6815</v>
      </c>
      <c r="N307">
        <v>5.6</v>
      </c>
    </row>
    <row r="308" spans="1:14">
      <c r="A308" t="s">
        <v>521</v>
      </c>
      <c r="B308" t="s">
        <v>20</v>
      </c>
      <c r="C308" t="s">
        <v>1036</v>
      </c>
      <c r="D308" t="s">
        <v>36</v>
      </c>
      <c r="E308">
        <v>49.49</v>
      </c>
      <c r="F308">
        <v>4</v>
      </c>
      <c r="G308">
        <v>9.8979999999999997</v>
      </c>
      <c r="H308">
        <v>207.858</v>
      </c>
      <c r="I308" s="1">
        <v>43545</v>
      </c>
      <c r="J308" s="1">
        <v>0.64236111111111116</v>
      </c>
      <c r="K308" t="s">
        <v>23</v>
      </c>
      <c r="L308">
        <v>197.96</v>
      </c>
      <c r="M308">
        <v>9.8979999999999997</v>
      </c>
      <c r="N308">
        <v>6.6</v>
      </c>
    </row>
    <row r="309" spans="1:14">
      <c r="A309" t="s">
        <v>477</v>
      </c>
      <c r="B309" t="s">
        <v>20</v>
      </c>
      <c r="C309" t="s">
        <v>1036</v>
      </c>
      <c r="D309" t="s">
        <v>36</v>
      </c>
      <c r="E309">
        <v>88.43</v>
      </c>
      <c r="F309">
        <v>8</v>
      </c>
      <c r="G309">
        <v>35.372</v>
      </c>
      <c r="H309">
        <v>742.81200000000001</v>
      </c>
      <c r="I309" s="1">
        <v>43546</v>
      </c>
      <c r="J309" s="1">
        <v>0.81597222222222221</v>
      </c>
      <c r="K309" t="s">
        <v>33</v>
      </c>
      <c r="L309">
        <v>707.44</v>
      </c>
      <c r="M309">
        <v>35.372</v>
      </c>
      <c r="N309">
        <v>4.3</v>
      </c>
    </row>
    <row r="310" spans="1:14">
      <c r="A310" t="s">
        <v>88</v>
      </c>
      <c r="B310" t="s">
        <v>20</v>
      </c>
      <c r="C310" t="s">
        <v>1036</v>
      </c>
      <c r="D310" t="s">
        <v>46</v>
      </c>
      <c r="E310">
        <v>17.87</v>
      </c>
      <c r="F310">
        <v>4</v>
      </c>
      <c r="G310">
        <v>3.5739999999999998</v>
      </c>
      <c r="H310">
        <v>75.054000000000002</v>
      </c>
      <c r="I310" s="1">
        <v>43546</v>
      </c>
      <c r="J310" s="1">
        <v>0.61250000000000004</v>
      </c>
      <c r="K310" t="s">
        <v>23</v>
      </c>
      <c r="L310">
        <v>71.48</v>
      </c>
      <c r="M310">
        <v>3.5739999999999998</v>
      </c>
      <c r="N310">
        <v>6.5</v>
      </c>
    </row>
    <row r="311" spans="1:14">
      <c r="A311" t="s">
        <v>503</v>
      </c>
      <c r="B311" t="s">
        <v>27</v>
      </c>
      <c r="C311" t="s">
        <v>1037</v>
      </c>
      <c r="D311" t="s">
        <v>36</v>
      </c>
      <c r="E311">
        <v>37.020000000000003</v>
      </c>
      <c r="F311">
        <v>6</v>
      </c>
      <c r="G311">
        <v>11.106</v>
      </c>
      <c r="H311">
        <v>233.226</v>
      </c>
      <c r="I311" s="1">
        <v>43546</v>
      </c>
      <c r="J311" s="1">
        <v>0.7729166666666667</v>
      </c>
      <c r="K311" t="s">
        <v>29</v>
      </c>
      <c r="L311">
        <v>222.12</v>
      </c>
      <c r="M311">
        <v>11.106</v>
      </c>
      <c r="N311">
        <v>4.5</v>
      </c>
    </row>
    <row r="312" spans="1:14">
      <c r="A312" t="s">
        <v>186</v>
      </c>
      <c r="B312" t="s">
        <v>20</v>
      </c>
      <c r="C312" t="s">
        <v>1036</v>
      </c>
      <c r="D312" t="s">
        <v>46</v>
      </c>
      <c r="E312">
        <v>91.54</v>
      </c>
      <c r="F312">
        <v>4</v>
      </c>
      <c r="G312">
        <v>18.308</v>
      </c>
      <c r="H312">
        <v>384.46800000000002</v>
      </c>
      <c r="I312" s="1">
        <v>43547</v>
      </c>
      <c r="J312" s="1">
        <v>0.80555555555555558</v>
      </c>
      <c r="K312" t="s">
        <v>33</v>
      </c>
      <c r="L312">
        <v>366.16</v>
      </c>
      <c r="M312">
        <v>18.308</v>
      </c>
      <c r="N312">
        <v>4.8</v>
      </c>
    </row>
    <row r="313" spans="1:14">
      <c r="A313" t="s">
        <v>698</v>
      </c>
      <c r="B313" t="s">
        <v>20</v>
      </c>
      <c r="C313" t="s">
        <v>1036</v>
      </c>
      <c r="D313" t="s">
        <v>46</v>
      </c>
      <c r="E313">
        <v>58.75</v>
      </c>
      <c r="F313">
        <v>6</v>
      </c>
      <c r="G313">
        <v>17.625</v>
      </c>
      <c r="H313">
        <v>370.125</v>
      </c>
      <c r="I313" s="1">
        <v>43548</v>
      </c>
      <c r="J313" s="1">
        <v>0.75972222222222219</v>
      </c>
      <c r="K313" t="s">
        <v>33</v>
      </c>
      <c r="L313">
        <v>352.5</v>
      </c>
      <c r="M313">
        <v>17.625</v>
      </c>
      <c r="N313">
        <v>5.9</v>
      </c>
    </row>
    <row r="314" spans="1:14">
      <c r="A314" t="s">
        <v>252</v>
      </c>
      <c r="B314" t="s">
        <v>27</v>
      </c>
      <c r="C314" t="s">
        <v>1036</v>
      </c>
      <c r="D314" t="s">
        <v>36</v>
      </c>
      <c r="E314">
        <v>24.77</v>
      </c>
      <c r="F314">
        <v>5</v>
      </c>
      <c r="G314">
        <v>6.1924999999999999</v>
      </c>
      <c r="H314">
        <v>130.04249999999999</v>
      </c>
      <c r="I314" s="1">
        <v>43548</v>
      </c>
      <c r="J314" s="1">
        <v>0.76875000000000004</v>
      </c>
      <c r="K314" t="s">
        <v>29</v>
      </c>
      <c r="L314">
        <v>123.85</v>
      </c>
      <c r="M314">
        <v>6.1924999999999999</v>
      </c>
      <c r="N314">
        <v>8.5</v>
      </c>
    </row>
    <row r="315" spans="1:14">
      <c r="A315" t="s">
        <v>943</v>
      </c>
      <c r="B315" t="s">
        <v>27</v>
      </c>
      <c r="C315" t="s">
        <v>1036</v>
      </c>
      <c r="D315" t="s">
        <v>22</v>
      </c>
      <c r="E315">
        <v>82.88</v>
      </c>
      <c r="F315">
        <v>5</v>
      </c>
      <c r="G315">
        <v>20.72</v>
      </c>
      <c r="H315">
        <v>435.12</v>
      </c>
      <c r="I315" s="1">
        <v>43548</v>
      </c>
      <c r="J315" s="1">
        <v>0.58888888888888891</v>
      </c>
      <c r="K315" t="s">
        <v>33</v>
      </c>
      <c r="L315">
        <v>414.4</v>
      </c>
      <c r="M315">
        <v>20.72</v>
      </c>
      <c r="N315">
        <v>6.6</v>
      </c>
    </row>
    <row r="316" spans="1:14">
      <c r="A316" t="s">
        <v>966</v>
      </c>
      <c r="B316" t="s">
        <v>27</v>
      </c>
      <c r="C316" t="s">
        <v>1037</v>
      </c>
      <c r="D316" t="s">
        <v>32</v>
      </c>
      <c r="E316">
        <v>99.92</v>
      </c>
      <c r="F316">
        <v>6</v>
      </c>
      <c r="G316">
        <v>29.975999999999999</v>
      </c>
      <c r="H316">
        <v>629.49599999999998</v>
      </c>
      <c r="I316" s="1">
        <v>43548</v>
      </c>
      <c r="J316" s="1">
        <v>0.56458333333333333</v>
      </c>
      <c r="K316" t="s">
        <v>23</v>
      </c>
      <c r="L316">
        <v>599.52</v>
      </c>
      <c r="M316">
        <v>29.975999999999999</v>
      </c>
      <c r="N316">
        <v>7.1</v>
      </c>
    </row>
    <row r="317" spans="1:14">
      <c r="A317" t="s">
        <v>539</v>
      </c>
      <c r="B317" t="s">
        <v>27</v>
      </c>
      <c r="C317" t="s">
        <v>1036</v>
      </c>
      <c r="D317" t="s">
        <v>36</v>
      </c>
      <c r="E317">
        <v>93.31</v>
      </c>
      <c r="F317">
        <v>2</v>
      </c>
      <c r="G317">
        <v>9.3309999999999995</v>
      </c>
      <c r="H317">
        <v>195.95099999999999</v>
      </c>
      <c r="I317" s="1">
        <v>43549</v>
      </c>
      <c r="J317" s="1">
        <v>0.74513888888888891</v>
      </c>
      <c r="K317" t="s">
        <v>29</v>
      </c>
      <c r="L317">
        <v>186.62</v>
      </c>
      <c r="M317">
        <v>9.3309999999999995</v>
      </c>
      <c r="N317">
        <v>6.3</v>
      </c>
    </row>
    <row r="318" spans="1:14">
      <c r="A318" t="s">
        <v>856</v>
      </c>
      <c r="B318" t="s">
        <v>27</v>
      </c>
      <c r="C318" t="s">
        <v>1037</v>
      </c>
      <c r="D318" t="s">
        <v>28</v>
      </c>
      <c r="E318">
        <v>52.89</v>
      </c>
      <c r="F318">
        <v>4</v>
      </c>
      <c r="G318">
        <v>10.577999999999999</v>
      </c>
      <c r="H318">
        <v>222.13800000000001</v>
      </c>
      <c r="I318" s="1">
        <v>43549</v>
      </c>
      <c r="J318" s="1">
        <v>0.68888888888888888</v>
      </c>
      <c r="K318" t="s">
        <v>23</v>
      </c>
      <c r="L318">
        <v>211.56</v>
      </c>
      <c r="M318">
        <v>10.577999999999999</v>
      </c>
      <c r="N318">
        <v>6.7</v>
      </c>
    </row>
    <row r="319" spans="1:14">
      <c r="A319" t="s">
        <v>485</v>
      </c>
      <c r="B319" t="s">
        <v>20</v>
      </c>
      <c r="C319" t="s">
        <v>1036</v>
      </c>
      <c r="D319" t="s">
        <v>36</v>
      </c>
      <c r="E319">
        <v>39.119999999999997</v>
      </c>
      <c r="F319">
        <v>1</v>
      </c>
      <c r="G319">
        <v>1.956</v>
      </c>
      <c r="H319">
        <v>41.076000000000001</v>
      </c>
      <c r="I319" s="1">
        <v>43550</v>
      </c>
      <c r="J319" s="1">
        <v>0.4597222222222222</v>
      </c>
      <c r="K319" t="s">
        <v>33</v>
      </c>
      <c r="L319">
        <v>39.119999999999997</v>
      </c>
      <c r="M319">
        <v>1.956</v>
      </c>
      <c r="N319">
        <v>9.6</v>
      </c>
    </row>
    <row r="320" spans="1:14">
      <c r="A320" t="s">
        <v>784</v>
      </c>
      <c r="B320" t="s">
        <v>20</v>
      </c>
      <c r="C320" t="s">
        <v>1036</v>
      </c>
      <c r="D320" t="s">
        <v>32</v>
      </c>
      <c r="E320">
        <v>12.29</v>
      </c>
      <c r="F320">
        <v>9</v>
      </c>
      <c r="G320">
        <v>5.5305</v>
      </c>
      <c r="H320">
        <v>116.1405</v>
      </c>
      <c r="I320" s="1">
        <v>43550</v>
      </c>
      <c r="J320" s="1">
        <v>0.81111111111111112</v>
      </c>
      <c r="K320" t="s">
        <v>33</v>
      </c>
      <c r="L320">
        <v>110.61</v>
      </c>
      <c r="M320">
        <v>5.5305</v>
      </c>
      <c r="N320">
        <v>8</v>
      </c>
    </row>
    <row r="321" spans="1:14">
      <c r="A321" t="s">
        <v>556</v>
      </c>
      <c r="B321" t="s">
        <v>27</v>
      </c>
      <c r="C321" t="s">
        <v>1036</v>
      </c>
      <c r="D321" t="s">
        <v>28</v>
      </c>
      <c r="E321">
        <v>45.71</v>
      </c>
      <c r="F321">
        <v>3</v>
      </c>
      <c r="G321">
        <v>6.8564999999999996</v>
      </c>
      <c r="H321">
        <v>143.98650000000001</v>
      </c>
      <c r="I321" s="1">
        <v>43550</v>
      </c>
      <c r="J321" s="1">
        <v>0.44027777777777777</v>
      </c>
      <c r="K321" t="s">
        <v>33</v>
      </c>
      <c r="L321">
        <v>137.13</v>
      </c>
      <c r="M321">
        <v>6.8564999999999996</v>
      </c>
      <c r="N321">
        <v>7.7</v>
      </c>
    </row>
    <row r="322" spans="1:14">
      <c r="A322" t="s">
        <v>195</v>
      </c>
      <c r="B322" t="s">
        <v>27</v>
      </c>
      <c r="C322" t="s">
        <v>1037</v>
      </c>
      <c r="D322" t="s">
        <v>36</v>
      </c>
      <c r="E322">
        <v>93.39</v>
      </c>
      <c r="F322">
        <v>6</v>
      </c>
      <c r="G322">
        <v>28.016999999999999</v>
      </c>
      <c r="H322">
        <v>588.35699999999997</v>
      </c>
      <c r="I322" s="1">
        <v>43551</v>
      </c>
      <c r="J322" s="1">
        <v>0.8041666666666667</v>
      </c>
      <c r="K322" t="s">
        <v>23</v>
      </c>
      <c r="L322">
        <v>560.34</v>
      </c>
      <c r="M322">
        <v>28.016999999999999</v>
      </c>
      <c r="N322">
        <v>10</v>
      </c>
    </row>
    <row r="323" spans="1:14">
      <c r="A323" t="s">
        <v>737</v>
      </c>
      <c r="B323" t="s">
        <v>27</v>
      </c>
      <c r="C323" t="s">
        <v>1037</v>
      </c>
      <c r="D323" t="s">
        <v>44</v>
      </c>
      <c r="E323">
        <v>32.32</v>
      </c>
      <c r="F323">
        <v>3</v>
      </c>
      <c r="G323">
        <v>4.8479999999999999</v>
      </c>
      <c r="H323">
        <v>101.80800000000001</v>
      </c>
      <c r="I323" s="1">
        <v>43551</v>
      </c>
      <c r="J323" s="1">
        <v>0.7993055555555556</v>
      </c>
      <c r="K323" t="s">
        <v>33</v>
      </c>
      <c r="L323">
        <v>96.96</v>
      </c>
      <c r="M323">
        <v>4.8479999999999999</v>
      </c>
      <c r="N323">
        <v>4.3</v>
      </c>
    </row>
    <row r="324" spans="1:14">
      <c r="A324" t="s">
        <v>946</v>
      </c>
      <c r="B324" t="s">
        <v>20</v>
      </c>
      <c r="C324" t="s">
        <v>1036</v>
      </c>
      <c r="D324" t="s">
        <v>44</v>
      </c>
      <c r="E324">
        <v>29.15</v>
      </c>
      <c r="F324">
        <v>3</v>
      </c>
      <c r="G324">
        <v>4.3724999999999996</v>
      </c>
      <c r="H324">
        <v>91.822500000000005</v>
      </c>
      <c r="I324" s="1">
        <v>43551</v>
      </c>
      <c r="J324" s="1">
        <v>0.85347222222222219</v>
      </c>
      <c r="K324" t="s">
        <v>33</v>
      </c>
      <c r="L324">
        <v>87.45</v>
      </c>
      <c r="M324">
        <v>4.3724999999999996</v>
      </c>
      <c r="N324">
        <v>7.3</v>
      </c>
    </row>
    <row r="325" spans="1:14">
      <c r="A325" t="s">
        <v>678</v>
      </c>
      <c r="B325" t="s">
        <v>20</v>
      </c>
      <c r="C325" t="s">
        <v>1037</v>
      </c>
      <c r="D325" t="s">
        <v>28</v>
      </c>
      <c r="E325">
        <v>55.67</v>
      </c>
      <c r="F325">
        <v>2</v>
      </c>
      <c r="G325">
        <v>5.5670000000000002</v>
      </c>
      <c r="H325">
        <v>116.907</v>
      </c>
      <c r="I325" s="1">
        <v>43551</v>
      </c>
      <c r="J325" s="1">
        <v>0.63055555555555554</v>
      </c>
      <c r="K325" t="s">
        <v>23</v>
      </c>
      <c r="L325">
        <v>111.34</v>
      </c>
      <c r="M325">
        <v>5.5670000000000002</v>
      </c>
      <c r="N325">
        <v>6</v>
      </c>
    </row>
    <row r="326" spans="1:14">
      <c r="A326" t="s">
        <v>244</v>
      </c>
      <c r="B326" t="s">
        <v>27</v>
      </c>
      <c r="C326" t="s">
        <v>1036</v>
      </c>
      <c r="D326" t="s">
        <v>46</v>
      </c>
      <c r="E326">
        <v>30.37</v>
      </c>
      <c r="F326">
        <v>3</v>
      </c>
      <c r="G326">
        <v>4.5555000000000003</v>
      </c>
      <c r="H326">
        <v>95.665499999999994</v>
      </c>
      <c r="I326" s="1">
        <v>43552</v>
      </c>
      <c r="J326" s="1">
        <v>0.57013888888888886</v>
      </c>
      <c r="K326" t="s">
        <v>23</v>
      </c>
      <c r="L326">
        <v>91.11</v>
      </c>
      <c r="M326">
        <v>4.5555000000000003</v>
      </c>
      <c r="N326">
        <v>5.0999999999999996</v>
      </c>
    </row>
    <row r="327" spans="1:14">
      <c r="A327" t="s">
        <v>741</v>
      </c>
      <c r="B327" t="s">
        <v>27</v>
      </c>
      <c r="C327" t="s">
        <v>1037</v>
      </c>
      <c r="D327" t="s">
        <v>22</v>
      </c>
      <c r="E327">
        <v>71.77</v>
      </c>
      <c r="F327">
        <v>7</v>
      </c>
      <c r="G327">
        <v>25.119499999999999</v>
      </c>
      <c r="H327">
        <v>527.5095</v>
      </c>
      <c r="I327" s="1">
        <v>43553</v>
      </c>
      <c r="J327" s="1">
        <v>0.58750000000000002</v>
      </c>
      <c r="K327" t="s">
        <v>29</v>
      </c>
      <c r="L327">
        <v>502.39</v>
      </c>
      <c r="M327">
        <v>25.119499999999999</v>
      </c>
      <c r="N327">
        <v>8.9</v>
      </c>
    </row>
    <row r="328" spans="1:14">
      <c r="A328" t="s">
        <v>132</v>
      </c>
      <c r="B328" t="s">
        <v>27</v>
      </c>
      <c r="C328" t="s">
        <v>1037</v>
      </c>
      <c r="D328" t="s">
        <v>22</v>
      </c>
      <c r="E328">
        <v>87.87</v>
      </c>
      <c r="F328">
        <v>10</v>
      </c>
      <c r="G328">
        <v>43.935000000000002</v>
      </c>
      <c r="H328">
        <v>922.63499999999999</v>
      </c>
      <c r="I328" s="1">
        <v>43553</v>
      </c>
      <c r="J328" s="1">
        <v>0.43402777777777779</v>
      </c>
      <c r="K328" t="s">
        <v>23</v>
      </c>
      <c r="L328">
        <v>878.7</v>
      </c>
      <c r="M328">
        <v>43.935000000000002</v>
      </c>
      <c r="N328">
        <v>5.0999999999999996</v>
      </c>
    </row>
    <row r="329" spans="1:14">
      <c r="A329" t="s">
        <v>544</v>
      </c>
      <c r="B329" t="s">
        <v>20</v>
      </c>
      <c r="C329" t="s">
        <v>1037</v>
      </c>
      <c r="D329" t="s">
        <v>22</v>
      </c>
      <c r="E329">
        <v>61.29</v>
      </c>
      <c r="F329">
        <v>5</v>
      </c>
      <c r="G329">
        <v>15.3225</v>
      </c>
      <c r="H329">
        <v>321.77249999999998</v>
      </c>
      <c r="I329" s="1">
        <v>43553</v>
      </c>
      <c r="J329" s="1">
        <v>0.60277777777777775</v>
      </c>
      <c r="K329" t="s">
        <v>29</v>
      </c>
      <c r="L329">
        <v>306.45</v>
      </c>
      <c r="M329">
        <v>15.3225</v>
      </c>
      <c r="N329">
        <v>7</v>
      </c>
    </row>
    <row r="330" spans="1:14">
      <c r="A330" t="s">
        <v>552</v>
      </c>
      <c r="B330" t="s">
        <v>20</v>
      </c>
      <c r="C330" t="s">
        <v>1037</v>
      </c>
      <c r="D330" t="s">
        <v>22</v>
      </c>
      <c r="E330">
        <v>54.86</v>
      </c>
      <c r="F330">
        <v>5</v>
      </c>
      <c r="G330">
        <v>13.715</v>
      </c>
      <c r="H330">
        <v>288.01499999999999</v>
      </c>
      <c r="I330" s="1">
        <v>43553</v>
      </c>
      <c r="J330" s="1">
        <v>0.7</v>
      </c>
      <c r="K330" t="s">
        <v>23</v>
      </c>
      <c r="L330">
        <v>274.3</v>
      </c>
      <c r="M330">
        <v>13.715</v>
      </c>
      <c r="N330">
        <v>9.8000000000000007</v>
      </c>
    </row>
    <row r="331" spans="1:14">
      <c r="A331" t="s">
        <v>194</v>
      </c>
      <c r="B331" t="s">
        <v>20</v>
      </c>
      <c r="C331" t="s">
        <v>1037</v>
      </c>
      <c r="D331" t="s">
        <v>22</v>
      </c>
      <c r="E331">
        <v>97.22</v>
      </c>
      <c r="F331">
        <v>9</v>
      </c>
      <c r="G331">
        <v>43.749000000000002</v>
      </c>
      <c r="H331">
        <v>918.72900000000004</v>
      </c>
      <c r="I331" s="1">
        <v>43554</v>
      </c>
      <c r="J331" s="1">
        <v>0.61319444444444449</v>
      </c>
      <c r="K331" t="s">
        <v>23</v>
      </c>
      <c r="L331">
        <v>874.98</v>
      </c>
      <c r="M331">
        <v>43.749000000000002</v>
      </c>
      <c r="N331">
        <v>6</v>
      </c>
    </row>
    <row r="332" spans="1:14">
      <c r="A332" t="s">
        <v>707</v>
      </c>
      <c r="B332" t="s">
        <v>20</v>
      </c>
      <c r="C332" t="s">
        <v>1037</v>
      </c>
      <c r="D332" t="s">
        <v>44</v>
      </c>
      <c r="E332">
        <v>93.4</v>
      </c>
      <c r="F332">
        <v>2</v>
      </c>
      <c r="G332">
        <v>9.34</v>
      </c>
      <c r="H332">
        <v>196.14</v>
      </c>
      <c r="I332" s="1">
        <v>43554</v>
      </c>
      <c r="J332" s="1">
        <v>0.69027777777777777</v>
      </c>
      <c r="K332" t="s">
        <v>29</v>
      </c>
      <c r="L332">
        <v>186.8</v>
      </c>
      <c r="M332">
        <v>9.34</v>
      </c>
      <c r="N332">
        <v>5.5</v>
      </c>
    </row>
    <row r="333" spans="1:14">
      <c r="A333" t="s">
        <v>509</v>
      </c>
      <c r="B333" t="s">
        <v>20</v>
      </c>
      <c r="C333" t="s">
        <v>1037</v>
      </c>
      <c r="D333" t="s">
        <v>22</v>
      </c>
      <c r="E333">
        <v>72.569999999999993</v>
      </c>
      <c r="F333">
        <v>8</v>
      </c>
      <c r="G333">
        <v>29.027999999999999</v>
      </c>
      <c r="H333">
        <v>609.58799999999997</v>
      </c>
      <c r="I333" s="1">
        <v>43554</v>
      </c>
      <c r="J333" s="1">
        <v>0.74861111111111112</v>
      </c>
      <c r="K333" t="s">
        <v>29</v>
      </c>
      <c r="L333">
        <v>580.55999999999995</v>
      </c>
      <c r="M333">
        <v>29.027999999999999</v>
      </c>
      <c r="N333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C0DA-379F-47DC-9589-6EAFF1000C82}">
  <sheetPr codeName="Sheet6"/>
  <dimension ref="A6:T15"/>
  <sheetViews>
    <sheetView workbookViewId="0">
      <selection activeCell="Q15" sqref="Q15"/>
    </sheetView>
  </sheetViews>
  <sheetFormatPr defaultRowHeight="15"/>
  <sheetData>
    <row r="6" spans="1:20">
      <c r="H6" s="4"/>
    </row>
    <row r="11" spans="1:20">
      <c r="A11" t="s">
        <v>1047</v>
      </c>
      <c r="C11" t="s">
        <v>1038</v>
      </c>
      <c r="T11" t="s">
        <v>1048</v>
      </c>
    </row>
    <row r="12" spans="1:20">
      <c r="A12">
        <f>COUNTIFS(
  BranchB!$C:$C, IF(Inputgender="All","*",Inputgender),
  BranchB!$B:$B, IF(InputCustomertyp="All","*",InputCustomertyp),
  BranchB!$K:$K, IF(InputPayementMethod="All","*",InputPayementMethod)
)</f>
        <v>49</v>
      </c>
      <c r="C12">
        <f>AVERAGEIFS(
  BranchB!N:N,
  BranchB!$C:$C, IF(Inputgender="All","*",Inputgender),
  BranchB!$B:$B, IF(InputCustomertyp="All","*",InputCustomertyp),
  BranchB!$K:$K, IF(InputPayementMethod="All","*",InputPayementMethod)
)</f>
        <v>6.5387755102040828</v>
      </c>
      <c r="T12">
        <f>SUMIFS(BranchB!F:F,
  BranchB!$C:$C, IF(Inputgender="All","*",Inputgender),
  BranchB!$B:$B, IF(InputCustomertyp="All","*",InputCustomertyp),
  BranchB!$K:$K, IF(InputPayementMethod="All","*",InputPayementMethod)
)</f>
        <v>269</v>
      </c>
    </row>
    <row r="13" spans="1:20">
      <c r="Q13" t="s">
        <v>1045</v>
      </c>
    </row>
    <row r="14" spans="1:20">
      <c r="K14" t="s">
        <v>1057</v>
      </c>
      <c r="Q14">
        <f>SUMIFS(BranchB!H:H,
  BranchB!$C:$C, IF(Inputgender="All","*",Inputgender),
  BranchB!$B:$B, IF(InputCustomertyp="All","*",InputCustomertyp),
  BranchB!$K:$K, IF(InputPayementMethod="All","*",InputPayementMethod)
)</f>
        <v>14182.234499999999</v>
      </c>
    </row>
    <row r="15" spans="1:20">
      <c r="K15">
        <f>SUMIFS(
  BranchB!M:M,
  BranchB!$C:$C, IF(Inputgender="All","*",Inputgender),
  BranchB!$B:$B, IF(InputCustomertyp="All","*",InputCustomertyp),
  BranchB!$K:$K, IF(InputPayementMethod="All","*",InputPayementMethod)
)</f>
        <v>675.34450000000004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9623-E5AB-4307-BE2D-77F298603A66}">
  <sheetPr codeName="Sheet7"/>
  <dimension ref="A1:N329"/>
  <sheetViews>
    <sheetView workbookViewId="0">
      <selection activeCell="C2" sqref="C2"/>
    </sheetView>
  </sheetViews>
  <sheetFormatPr defaultRowHeight="15"/>
  <cols>
    <col min="1" max="1" width="12" bestFit="1" customWidth="1"/>
    <col min="2" max="2" width="16.42578125" bestFit="1" customWidth="1"/>
    <col min="3" max="3" width="10" bestFit="1" customWidth="1"/>
    <col min="4" max="4" width="20.42578125" bestFit="1" customWidth="1"/>
    <col min="5" max="5" width="12" bestFit="1" customWidth="1"/>
    <col min="6" max="6" width="11" bestFit="1" customWidth="1"/>
    <col min="7" max="7" width="9.28515625" bestFit="1" customWidth="1"/>
    <col min="8" max="8" width="9" bestFit="1" customWidth="1"/>
    <col min="9" max="10" width="13.85546875" bestFit="1" customWidth="1"/>
    <col min="11" max="11" width="11.140625" bestFit="1" customWidth="1"/>
    <col min="12" max="12" width="7.140625" bestFit="1" customWidth="1"/>
    <col min="13" max="13" width="14.85546875" bestFit="1" customWidth="1"/>
    <col min="14" max="15" width="8.85546875" bestFit="1" customWidth="1"/>
  </cols>
  <sheetData>
    <row r="1" spans="1:14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15</v>
      </c>
      <c r="N1" t="s">
        <v>16</v>
      </c>
    </row>
    <row r="2" spans="1:14">
      <c r="A2" t="s">
        <v>520</v>
      </c>
      <c r="B2" t="s">
        <v>20</v>
      </c>
      <c r="C2" t="s">
        <v>1036</v>
      </c>
      <c r="D2" t="s">
        <v>36</v>
      </c>
      <c r="E2">
        <v>36.979999999999997</v>
      </c>
      <c r="F2">
        <v>10</v>
      </c>
      <c r="G2">
        <v>18.489999999999998</v>
      </c>
      <c r="H2">
        <v>388.29</v>
      </c>
      <c r="I2" s="1">
        <v>43466</v>
      </c>
      <c r="J2" s="1">
        <v>0.82499999999999996</v>
      </c>
      <c r="K2" t="s">
        <v>33</v>
      </c>
      <c r="L2">
        <v>369.8</v>
      </c>
      <c r="M2">
        <v>18.489999999999998</v>
      </c>
      <c r="N2">
        <v>7</v>
      </c>
    </row>
    <row r="3" spans="1:14">
      <c r="A3" t="s">
        <v>875</v>
      </c>
      <c r="B3" t="s">
        <v>20</v>
      </c>
      <c r="C3" t="s">
        <v>1036</v>
      </c>
      <c r="D3" t="s">
        <v>36</v>
      </c>
      <c r="E3">
        <v>29.22</v>
      </c>
      <c r="F3">
        <v>6</v>
      </c>
      <c r="G3">
        <v>8.766</v>
      </c>
      <c r="H3">
        <v>184.08600000000001</v>
      </c>
      <c r="I3" s="1">
        <v>43466</v>
      </c>
      <c r="J3" s="1">
        <v>0.4861111111111111</v>
      </c>
      <c r="K3" t="s">
        <v>23</v>
      </c>
      <c r="L3">
        <v>175.32</v>
      </c>
      <c r="M3">
        <v>8.766</v>
      </c>
      <c r="N3">
        <v>5</v>
      </c>
    </row>
    <row r="4" spans="1:14">
      <c r="A4" t="s">
        <v>532</v>
      </c>
      <c r="B4" t="s">
        <v>27</v>
      </c>
      <c r="C4" t="s">
        <v>1036</v>
      </c>
      <c r="D4" t="s">
        <v>28</v>
      </c>
      <c r="E4">
        <v>63.22</v>
      </c>
      <c r="F4">
        <v>2</v>
      </c>
      <c r="G4">
        <v>6.3220000000000001</v>
      </c>
      <c r="H4">
        <v>132.762</v>
      </c>
      <c r="I4" s="1">
        <v>43466</v>
      </c>
      <c r="J4" s="1">
        <v>0.66041666666666665</v>
      </c>
      <c r="K4" t="s">
        <v>29</v>
      </c>
      <c r="L4">
        <v>126.44</v>
      </c>
      <c r="M4">
        <v>6.3220000000000001</v>
      </c>
      <c r="N4">
        <v>8.5</v>
      </c>
    </row>
    <row r="5" spans="1:14">
      <c r="A5" t="s">
        <v>559</v>
      </c>
      <c r="B5" t="s">
        <v>27</v>
      </c>
      <c r="C5" t="s">
        <v>1037</v>
      </c>
      <c r="D5" t="s">
        <v>22</v>
      </c>
      <c r="E5">
        <v>62.87</v>
      </c>
      <c r="F5">
        <v>2</v>
      </c>
      <c r="G5">
        <v>6.2869999999999999</v>
      </c>
      <c r="H5">
        <v>132.02699999999999</v>
      </c>
      <c r="I5" s="1">
        <v>43466</v>
      </c>
      <c r="J5" s="1">
        <v>0.48819444444444443</v>
      </c>
      <c r="K5" t="s">
        <v>29</v>
      </c>
      <c r="L5">
        <v>125.74</v>
      </c>
      <c r="M5">
        <v>6.2869999999999999</v>
      </c>
      <c r="N5">
        <v>5</v>
      </c>
    </row>
    <row r="6" spans="1:14">
      <c r="A6" t="s">
        <v>780</v>
      </c>
      <c r="B6" t="s">
        <v>20</v>
      </c>
      <c r="C6" t="s">
        <v>1036</v>
      </c>
      <c r="D6" t="s">
        <v>36</v>
      </c>
      <c r="E6">
        <v>31.67</v>
      </c>
      <c r="F6">
        <v>8</v>
      </c>
      <c r="G6">
        <v>12.667999999999999</v>
      </c>
      <c r="H6">
        <v>266.02800000000002</v>
      </c>
      <c r="I6" s="1">
        <v>43467</v>
      </c>
      <c r="J6" s="1">
        <v>0.67986111111111114</v>
      </c>
      <c r="K6" t="s">
        <v>33</v>
      </c>
      <c r="L6">
        <v>253.36</v>
      </c>
      <c r="M6">
        <v>12.667999999999999</v>
      </c>
      <c r="N6">
        <v>5.6</v>
      </c>
    </row>
    <row r="7" spans="1:14">
      <c r="A7" t="s">
        <v>336</v>
      </c>
      <c r="B7" t="s">
        <v>27</v>
      </c>
      <c r="C7" t="s">
        <v>1037</v>
      </c>
      <c r="D7" t="s">
        <v>46</v>
      </c>
      <c r="E7">
        <v>99.82</v>
      </c>
      <c r="F7">
        <v>2</v>
      </c>
      <c r="G7">
        <v>9.9819999999999993</v>
      </c>
      <c r="H7">
        <v>209.62200000000001</v>
      </c>
      <c r="I7" s="1">
        <v>43467</v>
      </c>
      <c r="J7" s="1">
        <v>0.75624999999999998</v>
      </c>
      <c r="K7" t="s">
        <v>33</v>
      </c>
      <c r="L7">
        <v>199.64</v>
      </c>
      <c r="M7">
        <v>9.9819999999999993</v>
      </c>
      <c r="N7">
        <v>6.7</v>
      </c>
    </row>
    <row r="8" spans="1:14">
      <c r="A8" t="s">
        <v>307</v>
      </c>
      <c r="B8" t="s">
        <v>20</v>
      </c>
      <c r="C8" t="s">
        <v>1036</v>
      </c>
      <c r="D8" t="s">
        <v>22</v>
      </c>
      <c r="E8">
        <v>21.12</v>
      </c>
      <c r="F8">
        <v>2</v>
      </c>
      <c r="G8">
        <v>2.1120000000000001</v>
      </c>
      <c r="H8">
        <v>44.351999999999997</v>
      </c>
      <c r="I8" s="1">
        <v>43468</v>
      </c>
      <c r="J8" s="1">
        <v>0.80347222222222225</v>
      </c>
      <c r="K8" t="s">
        <v>29</v>
      </c>
      <c r="L8">
        <v>42.24</v>
      </c>
      <c r="M8">
        <v>2.1120000000000001</v>
      </c>
      <c r="N8">
        <v>9.6999999999999993</v>
      </c>
    </row>
    <row r="9" spans="1:14">
      <c r="A9" t="s">
        <v>577</v>
      </c>
      <c r="B9" t="s">
        <v>20</v>
      </c>
      <c r="C9" t="s">
        <v>1037</v>
      </c>
      <c r="D9" t="s">
        <v>22</v>
      </c>
      <c r="E9">
        <v>75.88</v>
      </c>
      <c r="F9">
        <v>1</v>
      </c>
      <c r="G9">
        <v>3.794</v>
      </c>
      <c r="H9">
        <v>79.674000000000007</v>
      </c>
      <c r="I9" s="1">
        <v>43468</v>
      </c>
      <c r="J9" s="1">
        <v>0.4375</v>
      </c>
      <c r="K9" t="s">
        <v>33</v>
      </c>
      <c r="L9">
        <v>75.88</v>
      </c>
      <c r="M9">
        <v>3.794</v>
      </c>
      <c r="N9">
        <v>7.1</v>
      </c>
    </row>
    <row r="10" spans="1:14">
      <c r="A10" t="s">
        <v>242</v>
      </c>
      <c r="B10" t="s">
        <v>20</v>
      </c>
      <c r="C10" t="s">
        <v>1036</v>
      </c>
      <c r="D10" t="s">
        <v>28</v>
      </c>
      <c r="E10">
        <v>66.650000000000006</v>
      </c>
      <c r="F10">
        <v>9</v>
      </c>
      <c r="G10">
        <v>29.9925</v>
      </c>
      <c r="H10">
        <v>629.84249999999997</v>
      </c>
      <c r="I10" s="1">
        <v>43469</v>
      </c>
      <c r="J10" s="1">
        <v>0.7631944444444444</v>
      </c>
      <c r="K10" t="s">
        <v>33</v>
      </c>
      <c r="L10">
        <v>599.85</v>
      </c>
      <c r="M10">
        <v>29.9925</v>
      </c>
      <c r="N10">
        <v>9.6999999999999993</v>
      </c>
    </row>
    <row r="11" spans="1:14">
      <c r="A11" t="s">
        <v>142</v>
      </c>
      <c r="B11" t="s">
        <v>27</v>
      </c>
      <c r="C11" t="s">
        <v>1037</v>
      </c>
      <c r="D11" t="s">
        <v>46</v>
      </c>
      <c r="E11">
        <v>27.38</v>
      </c>
      <c r="F11">
        <v>6</v>
      </c>
      <c r="G11">
        <v>8.2140000000000004</v>
      </c>
      <c r="H11">
        <v>172.494</v>
      </c>
      <c r="I11" s="1">
        <v>43470</v>
      </c>
      <c r="J11" s="1">
        <v>0.87083333333333335</v>
      </c>
      <c r="K11" t="s">
        <v>33</v>
      </c>
      <c r="L11">
        <v>164.28</v>
      </c>
      <c r="M11">
        <v>8.2140000000000004</v>
      </c>
      <c r="N11">
        <v>7.9</v>
      </c>
    </row>
    <row r="12" spans="1:14">
      <c r="A12" t="s">
        <v>972</v>
      </c>
      <c r="B12" t="s">
        <v>27</v>
      </c>
      <c r="C12" t="s">
        <v>1036</v>
      </c>
      <c r="D12" t="s">
        <v>22</v>
      </c>
      <c r="E12">
        <v>78.89</v>
      </c>
      <c r="F12">
        <v>7</v>
      </c>
      <c r="G12">
        <v>27.611499999999999</v>
      </c>
      <c r="H12">
        <v>579.8415</v>
      </c>
      <c r="I12" s="1">
        <v>43470</v>
      </c>
      <c r="J12" s="1">
        <v>0.82499999999999996</v>
      </c>
      <c r="K12" t="s">
        <v>23</v>
      </c>
      <c r="L12">
        <v>552.23</v>
      </c>
      <c r="M12">
        <v>27.611499999999999</v>
      </c>
      <c r="N12">
        <v>7.5</v>
      </c>
    </row>
    <row r="13" spans="1:14">
      <c r="A13" t="s">
        <v>537</v>
      </c>
      <c r="B13" t="s">
        <v>20</v>
      </c>
      <c r="C13" t="s">
        <v>1036</v>
      </c>
      <c r="D13" t="s">
        <v>46</v>
      </c>
      <c r="E13">
        <v>31.9</v>
      </c>
      <c r="F13">
        <v>1</v>
      </c>
      <c r="G13">
        <v>1.595</v>
      </c>
      <c r="H13">
        <v>33.494999999999997</v>
      </c>
      <c r="I13" s="1">
        <v>43470</v>
      </c>
      <c r="J13" s="1">
        <v>0.52777777777777779</v>
      </c>
      <c r="K13" t="s">
        <v>23</v>
      </c>
      <c r="L13">
        <v>31.9</v>
      </c>
      <c r="M13">
        <v>1.595</v>
      </c>
      <c r="N13">
        <v>9.1</v>
      </c>
    </row>
    <row r="14" spans="1:14">
      <c r="A14" t="s">
        <v>802</v>
      </c>
      <c r="B14" t="s">
        <v>27</v>
      </c>
      <c r="C14" t="s">
        <v>1036</v>
      </c>
      <c r="D14" t="s">
        <v>46</v>
      </c>
      <c r="E14">
        <v>76.06</v>
      </c>
      <c r="F14">
        <v>3</v>
      </c>
      <c r="G14">
        <v>11.409000000000001</v>
      </c>
      <c r="H14">
        <v>239.589</v>
      </c>
      <c r="I14" s="1">
        <v>43470</v>
      </c>
      <c r="J14" s="1">
        <v>0.85416666666666663</v>
      </c>
      <c r="K14" t="s">
        <v>33</v>
      </c>
      <c r="L14">
        <v>228.18</v>
      </c>
      <c r="M14">
        <v>11.409000000000001</v>
      </c>
      <c r="N14">
        <v>9.8000000000000007</v>
      </c>
    </row>
    <row r="15" spans="1:14">
      <c r="A15" t="s">
        <v>106</v>
      </c>
      <c r="B15" t="s">
        <v>27</v>
      </c>
      <c r="C15" t="s">
        <v>1037</v>
      </c>
      <c r="D15" t="s">
        <v>44</v>
      </c>
      <c r="E15">
        <v>89.48</v>
      </c>
      <c r="F15">
        <v>10</v>
      </c>
      <c r="G15">
        <v>44.74</v>
      </c>
      <c r="H15">
        <v>939.54</v>
      </c>
      <c r="I15" s="1">
        <v>43471</v>
      </c>
      <c r="J15" s="1">
        <v>0.53194444444444444</v>
      </c>
      <c r="K15" t="s">
        <v>33</v>
      </c>
      <c r="L15">
        <v>894.8</v>
      </c>
      <c r="M15">
        <v>44.74</v>
      </c>
      <c r="N15">
        <v>9.6</v>
      </c>
    </row>
    <row r="16" spans="1:14">
      <c r="A16" t="s">
        <v>401</v>
      </c>
      <c r="B16" t="s">
        <v>27</v>
      </c>
      <c r="C16" t="s">
        <v>1036</v>
      </c>
      <c r="D16" t="s">
        <v>46</v>
      </c>
      <c r="E16">
        <v>81.680000000000007</v>
      </c>
      <c r="F16">
        <v>4</v>
      </c>
      <c r="G16">
        <v>16.335999999999999</v>
      </c>
      <c r="H16">
        <v>343.05599999999998</v>
      </c>
      <c r="I16" s="1">
        <v>43471</v>
      </c>
      <c r="J16" s="1">
        <v>0.5083333333333333</v>
      </c>
      <c r="K16" t="s">
        <v>29</v>
      </c>
      <c r="L16">
        <v>326.72000000000003</v>
      </c>
      <c r="M16">
        <v>16.335999999999999</v>
      </c>
      <c r="N16">
        <v>9.1</v>
      </c>
    </row>
    <row r="17" spans="1:14">
      <c r="A17" t="s">
        <v>616</v>
      </c>
      <c r="B17" t="s">
        <v>27</v>
      </c>
      <c r="C17" t="s">
        <v>1037</v>
      </c>
      <c r="D17" t="s">
        <v>44</v>
      </c>
      <c r="E17">
        <v>27.22</v>
      </c>
      <c r="F17">
        <v>3</v>
      </c>
      <c r="G17">
        <v>4.0830000000000002</v>
      </c>
      <c r="H17">
        <v>85.742999999999995</v>
      </c>
      <c r="I17" s="1">
        <v>43472</v>
      </c>
      <c r="J17" s="1">
        <v>0.52569444444444446</v>
      </c>
      <c r="K17" t="s">
        <v>29</v>
      </c>
      <c r="L17">
        <v>81.66</v>
      </c>
      <c r="M17">
        <v>4.0830000000000002</v>
      </c>
      <c r="N17">
        <v>7.3</v>
      </c>
    </row>
    <row r="18" spans="1:14">
      <c r="A18" t="s">
        <v>71</v>
      </c>
      <c r="B18" t="s">
        <v>20</v>
      </c>
      <c r="C18" t="s">
        <v>1036</v>
      </c>
      <c r="D18" t="s">
        <v>36</v>
      </c>
      <c r="E18">
        <v>68.12</v>
      </c>
      <c r="F18">
        <v>1</v>
      </c>
      <c r="G18">
        <v>3.4060000000000001</v>
      </c>
      <c r="H18">
        <v>71.525999999999996</v>
      </c>
      <c r="I18" s="1">
        <v>43472</v>
      </c>
      <c r="J18" s="1">
        <v>0.51944444444444449</v>
      </c>
      <c r="K18" t="s">
        <v>23</v>
      </c>
      <c r="L18">
        <v>68.12</v>
      </c>
      <c r="M18">
        <v>3.4060000000000001</v>
      </c>
      <c r="N18">
        <v>6.8</v>
      </c>
    </row>
    <row r="19" spans="1:14">
      <c r="A19" t="s">
        <v>312</v>
      </c>
      <c r="B19" t="s">
        <v>20</v>
      </c>
      <c r="C19" t="s">
        <v>1036</v>
      </c>
      <c r="D19" t="s">
        <v>32</v>
      </c>
      <c r="E19">
        <v>21.82</v>
      </c>
      <c r="F19">
        <v>10</v>
      </c>
      <c r="G19">
        <v>10.91</v>
      </c>
      <c r="H19">
        <v>229.11</v>
      </c>
      <c r="I19" s="1">
        <v>43472</v>
      </c>
      <c r="J19" s="1">
        <v>0.73333333333333328</v>
      </c>
      <c r="K19" t="s">
        <v>29</v>
      </c>
      <c r="L19">
        <v>218.2</v>
      </c>
      <c r="M19">
        <v>10.91</v>
      </c>
      <c r="N19">
        <v>7.1</v>
      </c>
    </row>
    <row r="20" spans="1:14">
      <c r="A20" t="s">
        <v>452</v>
      </c>
      <c r="B20" t="s">
        <v>27</v>
      </c>
      <c r="C20" t="s">
        <v>1036</v>
      </c>
      <c r="D20" t="s">
        <v>32</v>
      </c>
      <c r="E20">
        <v>45.38</v>
      </c>
      <c r="F20">
        <v>4</v>
      </c>
      <c r="G20">
        <v>9.0760000000000005</v>
      </c>
      <c r="H20">
        <v>190.596</v>
      </c>
      <c r="I20" s="1">
        <v>43473</v>
      </c>
      <c r="J20" s="1">
        <v>0.57499999999999996</v>
      </c>
      <c r="K20" t="s">
        <v>33</v>
      </c>
      <c r="L20">
        <v>181.52</v>
      </c>
      <c r="M20">
        <v>9.0760000000000005</v>
      </c>
      <c r="N20">
        <v>8.6999999999999993</v>
      </c>
    </row>
    <row r="21" spans="1:14">
      <c r="A21" t="s">
        <v>164</v>
      </c>
      <c r="B21" t="s">
        <v>20</v>
      </c>
      <c r="C21" t="s">
        <v>1036</v>
      </c>
      <c r="D21" t="s">
        <v>44</v>
      </c>
      <c r="E21">
        <v>68.540000000000006</v>
      </c>
      <c r="F21">
        <v>8</v>
      </c>
      <c r="G21">
        <v>27.416</v>
      </c>
      <c r="H21">
        <v>575.73599999999999</v>
      </c>
      <c r="I21" s="1">
        <v>43473</v>
      </c>
      <c r="J21" s="1">
        <v>0.6645833333333333</v>
      </c>
      <c r="K21" t="s">
        <v>23</v>
      </c>
      <c r="L21">
        <v>548.32000000000005</v>
      </c>
      <c r="M21">
        <v>27.416</v>
      </c>
      <c r="N21">
        <v>8.5</v>
      </c>
    </row>
    <row r="22" spans="1:14">
      <c r="A22" t="s">
        <v>640</v>
      </c>
      <c r="B22" t="s">
        <v>20</v>
      </c>
      <c r="C22" t="s">
        <v>1036</v>
      </c>
      <c r="D22" t="s">
        <v>46</v>
      </c>
      <c r="E22">
        <v>51.89</v>
      </c>
      <c r="F22">
        <v>7</v>
      </c>
      <c r="G22">
        <v>18.1615</v>
      </c>
      <c r="H22">
        <v>381.39150000000001</v>
      </c>
      <c r="I22" s="1">
        <v>43473</v>
      </c>
      <c r="J22" s="1">
        <v>0.83888888888888891</v>
      </c>
      <c r="K22" t="s">
        <v>29</v>
      </c>
      <c r="L22">
        <v>363.23</v>
      </c>
      <c r="M22">
        <v>18.1615</v>
      </c>
      <c r="N22">
        <v>4.5</v>
      </c>
    </row>
    <row r="23" spans="1:14">
      <c r="A23" t="s">
        <v>479</v>
      </c>
      <c r="B23" t="s">
        <v>27</v>
      </c>
      <c r="C23" t="s">
        <v>1037</v>
      </c>
      <c r="D23" t="s">
        <v>46</v>
      </c>
      <c r="E23">
        <v>12.78</v>
      </c>
      <c r="F23">
        <v>1</v>
      </c>
      <c r="G23">
        <v>0.63900000000000001</v>
      </c>
      <c r="H23">
        <v>13.419</v>
      </c>
      <c r="I23" s="1">
        <v>43473</v>
      </c>
      <c r="J23" s="1">
        <v>0.59097222222222223</v>
      </c>
      <c r="K23" t="s">
        <v>23</v>
      </c>
      <c r="L23">
        <v>12.78</v>
      </c>
      <c r="M23">
        <v>0.63900000000000001</v>
      </c>
      <c r="N23">
        <v>9.5</v>
      </c>
    </row>
    <row r="24" spans="1:14">
      <c r="A24" t="s">
        <v>904</v>
      </c>
      <c r="B24" t="s">
        <v>20</v>
      </c>
      <c r="C24" t="s">
        <v>1037</v>
      </c>
      <c r="D24" t="s">
        <v>44</v>
      </c>
      <c r="E24">
        <v>24.31</v>
      </c>
      <c r="F24">
        <v>3</v>
      </c>
      <c r="G24">
        <v>3.6465000000000001</v>
      </c>
      <c r="H24">
        <v>76.576499999999996</v>
      </c>
      <c r="I24" s="1">
        <v>43473</v>
      </c>
      <c r="J24" s="1">
        <v>0.79791666666666672</v>
      </c>
      <c r="K24" t="s">
        <v>33</v>
      </c>
      <c r="L24">
        <v>72.930000000000007</v>
      </c>
      <c r="M24">
        <v>3.6465000000000001</v>
      </c>
      <c r="N24">
        <v>4.3</v>
      </c>
    </row>
    <row r="25" spans="1:14">
      <c r="A25" t="s">
        <v>884</v>
      </c>
      <c r="B25" t="s">
        <v>20</v>
      </c>
      <c r="C25" t="s">
        <v>1036</v>
      </c>
      <c r="D25" t="s">
        <v>44</v>
      </c>
      <c r="E25">
        <v>72.88</v>
      </c>
      <c r="F25">
        <v>9</v>
      </c>
      <c r="G25">
        <v>32.795999999999999</v>
      </c>
      <c r="H25">
        <v>688.71600000000001</v>
      </c>
      <c r="I25" s="1">
        <v>43473</v>
      </c>
      <c r="J25" s="1">
        <v>0.81805555555555554</v>
      </c>
      <c r="K25" t="s">
        <v>29</v>
      </c>
      <c r="L25">
        <v>655.92</v>
      </c>
      <c r="M25">
        <v>32.795999999999999</v>
      </c>
      <c r="N25">
        <v>4</v>
      </c>
    </row>
    <row r="26" spans="1:14">
      <c r="A26" t="s">
        <v>163</v>
      </c>
      <c r="B26" t="s">
        <v>27</v>
      </c>
      <c r="C26" t="s">
        <v>1036</v>
      </c>
      <c r="D26" t="s">
        <v>46</v>
      </c>
      <c r="E26">
        <v>31.73</v>
      </c>
      <c r="F26">
        <v>9</v>
      </c>
      <c r="G26">
        <v>14.278499999999999</v>
      </c>
      <c r="H26">
        <v>299.8485</v>
      </c>
      <c r="I26" s="1">
        <v>43473</v>
      </c>
      <c r="J26" s="1">
        <v>0.67847222222222225</v>
      </c>
      <c r="K26" t="s">
        <v>33</v>
      </c>
      <c r="L26">
        <v>285.57</v>
      </c>
      <c r="M26">
        <v>14.278499999999999</v>
      </c>
      <c r="N26">
        <v>5.9</v>
      </c>
    </row>
    <row r="27" spans="1:14">
      <c r="A27" t="s">
        <v>762</v>
      </c>
      <c r="B27" t="s">
        <v>20</v>
      </c>
      <c r="C27" t="s">
        <v>1037</v>
      </c>
      <c r="D27" t="s">
        <v>32</v>
      </c>
      <c r="E27">
        <v>55.57</v>
      </c>
      <c r="F27">
        <v>3</v>
      </c>
      <c r="G27">
        <v>8.3354999999999997</v>
      </c>
      <c r="H27">
        <v>175.0455</v>
      </c>
      <c r="I27" s="1">
        <v>43473</v>
      </c>
      <c r="J27" s="1">
        <v>0.48749999999999999</v>
      </c>
      <c r="K27" t="s">
        <v>33</v>
      </c>
      <c r="L27">
        <v>166.71</v>
      </c>
      <c r="M27">
        <v>8.3354999999999997</v>
      </c>
      <c r="N27">
        <v>5.9</v>
      </c>
    </row>
    <row r="28" spans="1:14">
      <c r="A28" t="s">
        <v>393</v>
      </c>
      <c r="B28" t="s">
        <v>27</v>
      </c>
      <c r="C28" t="s">
        <v>1036</v>
      </c>
      <c r="D28" t="s">
        <v>36</v>
      </c>
      <c r="E28">
        <v>95.44</v>
      </c>
      <c r="F28">
        <v>10</v>
      </c>
      <c r="G28">
        <v>47.72</v>
      </c>
      <c r="H28">
        <v>1002.12</v>
      </c>
      <c r="I28" s="1">
        <v>43474</v>
      </c>
      <c r="J28" s="1">
        <v>0.57291666666666663</v>
      </c>
      <c r="K28" t="s">
        <v>29</v>
      </c>
      <c r="L28">
        <v>954.4</v>
      </c>
      <c r="M28">
        <v>47.72</v>
      </c>
      <c r="N28">
        <v>5.2</v>
      </c>
    </row>
    <row r="29" spans="1:14">
      <c r="A29" t="s">
        <v>718</v>
      </c>
      <c r="B29" t="s">
        <v>27</v>
      </c>
      <c r="C29" t="s">
        <v>1036</v>
      </c>
      <c r="D29" t="s">
        <v>46</v>
      </c>
      <c r="E29">
        <v>49.32</v>
      </c>
      <c r="F29">
        <v>6</v>
      </c>
      <c r="G29">
        <v>14.795999999999999</v>
      </c>
      <c r="H29">
        <v>310.71600000000001</v>
      </c>
      <c r="I29" s="1">
        <v>43474</v>
      </c>
      <c r="J29" s="1">
        <v>0.57361111111111107</v>
      </c>
      <c r="K29" t="s">
        <v>23</v>
      </c>
      <c r="L29">
        <v>295.92</v>
      </c>
      <c r="M29">
        <v>14.795999999999999</v>
      </c>
      <c r="N29">
        <v>7.1</v>
      </c>
    </row>
    <row r="30" spans="1:14">
      <c r="A30" t="s">
        <v>1020</v>
      </c>
      <c r="B30" t="s">
        <v>27</v>
      </c>
      <c r="C30" t="s">
        <v>1037</v>
      </c>
      <c r="D30" t="s">
        <v>28</v>
      </c>
      <c r="E30">
        <v>96.37</v>
      </c>
      <c r="F30">
        <v>7</v>
      </c>
      <c r="G30">
        <v>33.729500000000002</v>
      </c>
      <c r="H30">
        <v>708.31949999999995</v>
      </c>
      <c r="I30" s="1">
        <v>43474</v>
      </c>
      <c r="J30" s="1">
        <v>0.4861111111111111</v>
      </c>
      <c r="K30" t="s">
        <v>29</v>
      </c>
      <c r="L30">
        <v>674.59</v>
      </c>
      <c r="M30">
        <v>33.729500000000002</v>
      </c>
      <c r="N30">
        <v>6</v>
      </c>
    </row>
    <row r="31" spans="1:14">
      <c r="A31" t="s">
        <v>112</v>
      </c>
      <c r="B31" t="s">
        <v>20</v>
      </c>
      <c r="C31" t="s">
        <v>1037</v>
      </c>
      <c r="D31" t="s">
        <v>46</v>
      </c>
      <c r="E31">
        <v>49.04</v>
      </c>
      <c r="F31">
        <v>9</v>
      </c>
      <c r="G31">
        <v>22.068000000000001</v>
      </c>
      <c r="H31">
        <v>463.428</v>
      </c>
      <c r="I31" s="1">
        <v>43474</v>
      </c>
      <c r="J31" s="1">
        <v>0.59722222222222221</v>
      </c>
      <c r="K31" t="s">
        <v>33</v>
      </c>
      <c r="L31">
        <v>441.36</v>
      </c>
      <c r="M31">
        <v>22.068000000000001</v>
      </c>
      <c r="N31">
        <v>8.6</v>
      </c>
    </row>
    <row r="32" spans="1:14">
      <c r="A32" t="s">
        <v>994</v>
      </c>
      <c r="B32" t="s">
        <v>27</v>
      </c>
      <c r="C32" t="s">
        <v>1036</v>
      </c>
      <c r="D32" t="s">
        <v>32</v>
      </c>
      <c r="E32">
        <v>15.8</v>
      </c>
      <c r="F32">
        <v>10</v>
      </c>
      <c r="G32">
        <v>7.9</v>
      </c>
      <c r="H32">
        <v>165.9</v>
      </c>
      <c r="I32" s="1">
        <v>43474</v>
      </c>
      <c r="J32" s="1">
        <v>0.50486111111111109</v>
      </c>
      <c r="K32" t="s">
        <v>29</v>
      </c>
      <c r="L32">
        <v>158</v>
      </c>
      <c r="M32">
        <v>7.9</v>
      </c>
      <c r="N32">
        <v>7.8</v>
      </c>
    </row>
    <row r="33" spans="1:14">
      <c r="A33" t="s">
        <v>353</v>
      </c>
      <c r="B33" t="s">
        <v>20</v>
      </c>
      <c r="C33" t="s">
        <v>1037</v>
      </c>
      <c r="D33" t="s">
        <v>28</v>
      </c>
      <c r="E33">
        <v>74.790000000000006</v>
      </c>
      <c r="F33">
        <v>5</v>
      </c>
      <c r="G33">
        <v>18.697500000000002</v>
      </c>
      <c r="H33">
        <v>392.64749999999998</v>
      </c>
      <c r="I33" s="1">
        <v>43475</v>
      </c>
      <c r="J33" s="1">
        <v>0.48194444444444445</v>
      </c>
      <c r="K33" t="s">
        <v>29</v>
      </c>
      <c r="L33">
        <v>373.95</v>
      </c>
      <c r="M33">
        <v>18.697500000000002</v>
      </c>
      <c r="N33">
        <v>4.9000000000000004</v>
      </c>
    </row>
    <row r="34" spans="1:14">
      <c r="A34" t="s">
        <v>959</v>
      </c>
      <c r="B34" t="s">
        <v>27</v>
      </c>
      <c r="C34" t="s">
        <v>1036</v>
      </c>
      <c r="D34" t="s">
        <v>36</v>
      </c>
      <c r="E34">
        <v>83.14</v>
      </c>
      <c r="F34">
        <v>7</v>
      </c>
      <c r="G34">
        <v>29.099</v>
      </c>
      <c r="H34">
        <v>611.07899999999995</v>
      </c>
      <c r="I34" s="1">
        <v>43475</v>
      </c>
      <c r="J34" s="1">
        <v>0.43819444444444444</v>
      </c>
      <c r="K34" t="s">
        <v>33</v>
      </c>
      <c r="L34">
        <v>581.98</v>
      </c>
      <c r="M34">
        <v>29.099</v>
      </c>
      <c r="N34">
        <v>6.6</v>
      </c>
    </row>
    <row r="35" spans="1:14">
      <c r="A35" t="s">
        <v>992</v>
      </c>
      <c r="B35" t="s">
        <v>20</v>
      </c>
      <c r="C35" t="s">
        <v>1037</v>
      </c>
      <c r="D35" t="s">
        <v>44</v>
      </c>
      <c r="E35">
        <v>50.49</v>
      </c>
      <c r="F35">
        <v>9</v>
      </c>
      <c r="G35">
        <v>22.720500000000001</v>
      </c>
      <c r="H35">
        <v>477.13049999999998</v>
      </c>
      <c r="I35" s="1">
        <v>43475</v>
      </c>
      <c r="J35" s="1">
        <v>0.71944444444444444</v>
      </c>
      <c r="K35" t="s">
        <v>29</v>
      </c>
      <c r="L35">
        <v>454.41</v>
      </c>
      <c r="M35">
        <v>22.720500000000001</v>
      </c>
      <c r="N35">
        <v>5.4</v>
      </c>
    </row>
    <row r="36" spans="1:14">
      <c r="A36" t="s">
        <v>261</v>
      </c>
      <c r="B36" t="s">
        <v>20</v>
      </c>
      <c r="C36" t="s">
        <v>1036</v>
      </c>
      <c r="D36" t="s">
        <v>36</v>
      </c>
      <c r="E36">
        <v>87.16</v>
      </c>
      <c r="F36">
        <v>2</v>
      </c>
      <c r="G36">
        <v>8.7159999999999993</v>
      </c>
      <c r="H36">
        <v>183.036</v>
      </c>
      <c r="I36" s="1">
        <v>43476</v>
      </c>
      <c r="J36" s="1">
        <v>0.60347222222222219</v>
      </c>
      <c r="K36" t="s">
        <v>33</v>
      </c>
      <c r="L36">
        <v>174.32</v>
      </c>
      <c r="M36">
        <v>8.7159999999999993</v>
      </c>
      <c r="N36">
        <v>9.6999999999999993</v>
      </c>
    </row>
    <row r="37" spans="1:14">
      <c r="A37" t="s">
        <v>759</v>
      </c>
      <c r="B37" t="s">
        <v>20</v>
      </c>
      <c r="C37" t="s">
        <v>1036</v>
      </c>
      <c r="D37" t="s">
        <v>44</v>
      </c>
      <c r="E37">
        <v>36.770000000000003</v>
      </c>
      <c r="F37">
        <v>7</v>
      </c>
      <c r="G37">
        <v>12.8695</v>
      </c>
      <c r="H37">
        <v>270.2595</v>
      </c>
      <c r="I37" s="1">
        <v>43476</v>
      </c>
      <c r="J37" s="1">
        <v>0.84027777777777779</v>
      </c>
      <c r="K37" t="s">
        <v>29</v>
      </c>
      <c r="L37">
        <v>257.39</v>
      </c>
      <c r="M37">
        <v>12.8695</v>
      </c>
      <c r="N37">
        <v>7.4</v>
      </c>
    </row>
    <row r="38" spans="1:14">
      <c r="A38" t="s">
        <v>157</v>
      </c>
      <c r="B38" t="s">
        <v>20</v>
      </c>
      <c r="C38" t="s">
        <v>1037</v>
      </c>
      <c r="D38" t="s">
        <v>36</v>
      </c>
      <c r="E38">
        <v>57.12</v>
      </c>
      <c r="F38">
        <v>7</v>
      </c>
      <c r="G38">
        <v>19.992000000000001</v>
      </c>
      <c r="H38">
        <v>419.83199999999999</v>
      </c>
      <c r="I38" s="1">
        <v>43477</v>
      </c>
      <c r="J38" s="1">
        <v>0.50138888888888888</v>
      </c>
      <c r="K38" t="s">
        <v>33</v>
      </c>
      <c r="L38">
        <v>399.84</v>
      </c>
      <c r="M38">
        <v>19.992000000000001</v>
      </c>
      <c r="N38">
        <v>6.5</v>
      </c>
    </row>
    <row r="39" spans="1:14">
      <c r="A39" t="s">
        <v>735</v>
      </c>
      <c r="B39" t="s">
        <v>27</v>
      </c>
      <c r="C39" t="s">
        <v>1037</v>
      </c>
      <c r="D39" t="s">
        <v>32</v>
      </c>
      <c r="E39">
        <v>97.5</v>
      </c>
      <c r="F39">
        <v>10</v>
      </c>
      <c r="G39">
        <v>48.75</v>
      </c>
      <c r="H39">
        <v>1023.75</v>
      </c>
      <c r="I39" s="1">
        <v>43477</v>
      </c>
      <c r="J39" s="1">
        <v>0.6791666666666667</v>
      </c>
      <c r="K39" t="s">
        <v>23</v>
      </c>
      <c r="L39">
        <v>975</v>
      </c>
      <c r="M39">
        <v>48.75</v>
      </c>
      <c r="N39">
        <v>8</v>
      </c>
    </row>
    <row r="40" spans="1:14">
      <c r="A40" t="s">
        <v>111</v>
      </c>
      <c r="B40" t="s">
        <v>27</v>
      </c>
      <c r="C40" t="s">
        <v>1036</v>
      </c>
      <c r="D40" t="s">
        <v>28</v>
      </c>
      <c r="E40">
        <v>41.65</v>
      </c>
      <c r="F40">
        <v>10</v>
      </c>
      <c r="G40">
        <v>20.824999999999999</v>
      </c>
      <c r="H40">
        <v>437.32499999999999</v>
      </c>
      <c r="I40" s="1">
        <v>43478</v>
      </c>
      <c r="J40" s="1">
        <v>0.71111111111111114</v>
      </c>
      <c r="K40" t="s">
        <v>33</v>
      </c>
      <c r="L40">
        <v>416.5</v>
      </c>
      <c r="M40">
        <v>20.824999999999999</v>
      </c>
      <c r="N40">
        <v>5.4</v>
      </c>
    </row>
    <row r="41" spans="1:14">
      <c r="A41" t="s">
        <v>989</v>
      </c>
      <c r="B41" t="s">
        <v>20</v>
      </c>
      <c r="C41" t="s">
        <v>1036</v>
      </c>
      <c r="D41" t="s">
        <v>44</v>
      </c>
      <c r="E41">
        <v>21.04</v>
      </c>
      <c r="F41">
        <v>4</v>
      </c>
      <c r="G41">
        <v>4.2080000000000002</v>
      </c>
      <c r="H41">
        <v>88.367999999999995</v>
      </c>
      <c r="I41" s="1">
        <v>43478</v>
      </c>
      <c r="J41" s="1">
        <v>0.58194444444444449</v>
      </c>
      <c r="K41" t="s">
        <v>29</v>
      </c>
      <c r="L41">
        <v>84.16</v>
      </c>
      <c r="M41">
        <v>4.2080000000000002</v>
      </c>
      <c r="N41">
        <v>7.6</v>
      </c>
    </row>
    <row r="42" spans="1:14">
      <c r="A42" t="s">
        <v>231</v>
      </c>
      <c r="B42" t="s">
        <v>20</v>
      </c>
      <c r="C42" t="s">
        <v>1036</v>
      </c>
      <c r="D42" t="s">
        <v>46</v>
      </c>
      <c r="E42">
        <v>74.290000000000006</v>
      </c>
      <c r="F42">
        <v>1</v>
      </c>
      <c r="G42">
        <v>3.7145000000000001</v>
      </c>
      <c r="H42">
        <v>78.004499999999993</v>
      </c>
      <c r="I42" s="1">
        <v>43478</v>
      </c>
      <c r="J42" s="1">
        <v>0.8125</v>
      </c>
      <c r="K42" t="s">
        <v>29</v>
      </c>
      <c r="L42">
        <v>74.290000000000006</v>
      </c>
      <c r="M42">
        <v>3.7145000000000001</v>
      </c>
      <c r="N42">
        <v>5</v>
      </c>
    </row>
    <row r="43" spans="1:14">
      <c r="A43" t="s">
        <v>824</v>
      </c>
      <c r="B43" t="s">
        <v>20</v>
      </c>
      <c r="C43" t="s">
        <v>1037</v>
      </c>
      <c r="D43" t="s">
        <v>22</v>
      </c>
      <c r="E43">
        <v>60.47</v>
      </c>
      <c r="F43">
        <v>3</v>
      </c>
      <c r="G43">
        <v>9.0704999999999991</v>
      </c>
      <c r="H43">
        <v>190.48050000000001</v>
      </c>
      <c r="I43" s="1">
        <v>43479</v>
      </c>
      <c r="J43" s="1">
        <v>0.4548611111111111</v>
      </c>
      <c r="K43" t="s">
        <v>33</v>
      </c>
      <c r="L43">
        <v>181.41</v>
      </c>
      <c r="M43">
        <v>9.0704999999999991</v>
      </c>
      <c r="N43">
        <v>5.6</v>
      </c>
    </row>
    <row r="44" spans="1:14">
      <c r="A44" t="s">
        <v>613</v>
      </c>
      <c r="B44" t="s">
        <v>27</v>
      </c>
      <c r="C44" t="s">
        <v>1037</v>
      </c>
      <c r="D44" t="s">
        <v>44</v>
      </c>
      <c r="E44">
        <v>31.77</v>
      </c>
      <c r="F44">
        <v>4</v>
      </c>
      <c r="G44">
        <v>6.3540000000000001</v>
      </c>
      <c r="H44">
        <v>133.434</v>
      </c>
      <c r="I44" s="1">
        <v>43479</v>
      </c>
      <c r="J44" s="1">
        <v>0.61319444444444449</v>
      </c>
      <c r="K44" t="s">
        <v>23</v>
      </c>
      <c r="L44">
        <v>127.08</v>
      </c>
      <c r="M44">
        <v>6.3540000000000001</v>
      </c>
      <c r="N44">
        <v>6.2</v>
      </c>
    </row>
    <row r="45" spans="1:14">
      <c r="A45" t="s">
        <v>777</v>
      </c>
      <c r="B45" t="s">
        <v>27</v>
      </c>
      <c r="C45" t="s">
        <v>1037</v>
      </c>
      <c r="D45" t="s">
        <v>44</v>
      </c>
      <c r="E45">
        <v>84.83</v>
      </c>
      <c r="F45">
        <v>1</v>
      </c>
      <c r="G45">
        <v>4.2415000000000003</v>
      </c>
      <c r="H45">
        <v>89.0715</v>
      </c>
      <c r="I45" s="1">
        <v>43479</v>
      </c>
      <c r="J45" s="1">
        <v>0.63888888888888884</v>
      </c>
      <c r="K45" t="s">
        <v>23</v>
      </c>
      <c r="L45">
        <v>84.83</v>
      </c>
      <c r="M45">
        <v>4.2415000000000003</v>
      </c>
      <c r="N45">
        <v>8.8000000000000007</v>
      </c>
    </row>
    <row r="46" spans="1:14">
      <c r="A46" t="s">
        <v>888</v>
      </c>
      <c r="B46" t="s">
        <v>27</v>
      </c>
      <c r="C46" t="s">
        <v>1037</v>
      </c>
      <c r="D46" t="s">
        <v>22</v>
      </c>
      <c r="E46">
        <v>53.19</v>
      </c>
      <c r="F46">
        <v>7</v>
      </c>
      <c r="G46">
        <v>18.616499999999998</v>
      </c>
      <c r="H46">
        <v>390.94650000000001</v>
      </c>
      <c r="I46" s="1">
        <v>43479</v>
      </c>
      <c r="J46" s="1">
        <v>0.65416666666666667</v>
      </c>
      <c r="K46" t="s">
        <v>23</v>
      </c>
      <c r="L46">
        <v>372.33</v>
      </c>
      <c r="M46">
        <v>18.616499999999998</v>
      </c>
      <c r="N46">
        <v>5</v>
      </c>
    </row>
    <row r="47" spans="1:14">
      <c r="A47" t="s">
        <v>936</v>
      </c>
      <c r="B47" t="s">
        <v>20</v>
      </c>
      <c r="C47" t="s">
        <v>1036</v>
      </c>
      <c r="D47" t="s">
        <v>28</v>
      </c>
      <c r="E47">
        <v>44.84</v>
      </c>
      <c r="F47">
        <v>9</v>
      </c>
      <c r="G47">
        <v>20.178000000000001</v>
      </c>
      <c r="H47">
        <v>423.738</v>
      </c>
      <c r="I47" s="1">
        <v>43479</v>
      </c>
      <c r="J47" s="1">
        <v>0.58333333333333337</v>
      </c>
      <c r="K47" t="s">
        <v>33</v>
      </c>
      <c r="L47">
        <v>403.56</v>
      </c>
      <c r="M47">
        <v>20.178000000000001</v>
      </c>
      <c r="N47">
        <v>7.5</v>
      </c>
    </row>
    <row r="48" spans="1:14">
      <c r="A48" t="s">
        <v>238</v>
      </c>
      <c r="B48" t="s">
        <v>27</v>
      </c>
      <c r="C48" t="s">
        <v>1037</v>
      </c>
      <c r="D48" t="s">
        <v>28</v>
      </c>
      <c r="E48">
        <v>61.41</v>
      </c>
      <c r="F48">
        <v>7</v>
      </c>
      <c r="G48">
        <v>21.493500000000001</v>
      </c>
      <c r="H48">
        <v>451.36349999999999</v>
      </c>
      <c r="I48" s="1">
        <v>43479</v>
      </c>
      <c r="J48" s="1">
        <v>0.41805555555555557</v>
      </c>
      <c r="K48" t="s">
        <v>29</v>
      </c>
      <c r="L48">
        <v>429.87</v>
      </c>
      <c r="M48">
        <v>21.493500000000001</v>
      </c>
      <c r="N48">
        <v>9.8000000000000007</v>
      </c>
    </row>
    <row r="49" spans="1:14">
      <c r="A49" t="s">
        <v>476</v>
      </c>
      <c r="B49" t="s">
        <v>20</v>
      </c>
      <c r="C49" t="s">
        <v>1037</v>
      </c>
      <c r="D49" t="s">
        <v>44</v>
      </c>
      <c r="E49">
        <v>17.440000000000001</v>
      </c>
      <c r="F49">
        <v>5</v>
      </c>
      <c r="G49">
        <v>4.3600000000000003</v>
      </c>
      <c r="H49">
        <v>91.56</v>
      </c>
      <c r="I49" s="1">
        <v>43480</v>
      </c>
      <c r="J49" s="1">
        <v>0.80902777777777779</v>
      </c>
      <c r="K49" t="s">
        <v>29</v>
      </c>
      <c r="L49">
        <v>87.2</v>
      </c>
      <c r="M49">
        <v>4.3600000000000003</v>
      </c>
      <c r="N49">
        <v>8.1</v>
      </c>
    </row>
    <row r="50" spans="1:14">
      <c r="A50" t="s">
        <v>785</v>
      </c>
      <c r="B50" t="s">
        <v>20</v>
      </c>
      <c r="C50" t="s">
        <v>1037</v>
      </c>
      <c r="D50" t="s">
        <v>22</v>
      </c>
      <c r="E50">
        <v>81.23</v>
      </c>
      <c r="F50">
        <v>7</v>
      </c>
      <c r="G50">
        <v>28.430499999999999</v>
      </c>
      <c r="H50">
        <v>597.04049999999995</v>
      </c>
      <c r="I50" s="1">
        <v>43480</v>
      </c>
      <c r="J50" s="1">
        <v>0.86388888888888893</v>
      </c>
      <c r="K50" t="s">
        <v>29</v>
      </c>
      <c r="L50">
        <v>568.61</v>
      </c>
      <c r="M50">
        <v>28.430499999999999</v>
      </c>
      <c r="N50">
        <v>9</v>
      </c>
    </row>
    <row r="51" spans="1:14">
      <c r="A51" t="s">
        <v>874</v>
      </c>
      <c r="B51" t="s">
        <v>27</v>
      </c>
      <c r="C51" t="s">
        <v>1037</v>
      </c>
      <c r="D51" t="s">
        <v>28</v>
      </c>
      <c r="E51">
        <v>55.87</v>
      </c>
      <c r="F51">
        <v>10</v>
      </c>
      <c r="G51">
        <v>27.934999999999999</v>
      </c>
      <c r="H51">
        <v>586.63499999999999</v>
      </c>
      <c r="I51" s="1">
        <v>43480</v>
      </c>
      <c r="J51" s="1">
        <v>0.62569444444444444</v>
      </c>
      <c r="K51" t="s">
        <v>29</v>
      </c>
      <c r="L51">
        <v>558.70000000000005</v>
      </c>
      <c r="M51">
        <v>27.934999999999999</v>
      </c>
      <c r="N51">
        <v>5.8</v>
      </c>
    </row>
    <row r="52" spans="1:14">
      <c r="A52" t="s">
        <v>202</v>
      </c>
      <c r="B52" t="s">
        <v>27</v>
      </c>
      <c r="C52" t="s">
        <v>1037</v>
      </c>
      <c r="D52" t="s">
        <v>32</v>
      </c>
      <c r="E52">
        <v>95.58</v>
      </c>
      <c r="F52">
        <v>10</v>
      </c>
      <c r="G52">
        <v>47.79</v>
      </c>
      <c r="H52">
        <v>1003.59</v>
      </c>
      <c r="I52" s="1">
        <v>43481</v>
      </c>
      <c r="J52" s="1">
        <v>0.56388888888888888</v>
      </c>
      <c r="K52" t="s">
        <v>29</v>
      </c>
      <c r="L52">
        <v>955.8</v>
      </c>
      <c r="M52">
        <v>47.79</v>
      </c>
      <c r="N52">
        <v>4.8</v>
      </c>
    </row>
    <row r="53" spans="1:14">
      <c r="A53" t="s">
        <v>697</v>
      </c>
      <c r="B53" t="s">
        <v>20</v>
      </c>
      <c r="C53" t="s">
        <v>1037</v>
      </c>
      <c r="D53" t="s">
        <v>36</v>
      </c>
      <c r="E53">
        <v>17.14</v>
      </c>
      <c r="F53">
        <v>7</v>
      </c>
      <c r="G53">
        <v>5.9989999999999997</v>
      </c>
      <c r="H53">
        <v>125.979</v>
      </c>
      <c r="I53" s="1">
        <v>43481</v>
      </c>
      <c r="J53" s="1">
        <v>0.50486111111111109</v>
      </c>
      <c r="K53" t="s">
        <v>33</v>
      </c>
      <c r="L53">
        <v>119.98</v>
      </c>
      <c r="M53">
        <v>5.9989999999999997</v>
      </c>
      <c r="N53">
        <v>7.9</v>
      </c>
    </row>
    <row r="54" spans="1:14">
      <c r="A54" t="s">
        <v>684</v>
      </c>
      <c r="B54" t="s">
        <v>20</v>
      </c>
      <c r="C54" t="s">
        <v>1036</v>
      </c>
      <c r="D54" t="s">
        <v>36</v>
      </c>
      <c r="E54">
        <v>15.49</v>
      </c>
      <c r="F54">
        <v>2</v>
      </c>
      <c r="G54">
        <v>1.5489999999999999</v>
      </c>
      <c r="H54">
        <v>32.529000000000003</v>
      </c>
      <c r="I54" s="1">
        <v>43481</v>
      </c>
      <c r="J54" s="1">
        <v>0.63194444444444442</v>
      </c>
      <c r="K54" t="s">
        <v>29</v>
      </c>
      <c r="L54">
        <v>30.98</v>
      </c>
      <c r="M54">
        <v>1.5489999999999999</v>
      </c>
      <c r="N54">
        <v>6.3</v>
      </c>
    </row>
    <row r="55" spans="1:14">
      <c r="A55" t="s">
        <v>247</v>
      </c>
      <c r="B55" t="s">
        <v>27</v>
      </c>
      <c r="C55" t="s">
        <v>1036</v>
      </c>
      <c r="D55" t="s">
        <v>44</v>
      </c>
      <c r="E55">
        <v>93.26</v>
      </c>
      <c r="F55">
        <v>9</v>
      </c>
      <c r="G55">
        <v>41.966999999999999</v>
      </c>
      <c r="H55">
        <v>881.30700000000002</v>
      </c>
      <c r="I55" s="1">
        <v>43481</v>
      </c>
      <c r="J55" s="1">
        <v>0.75555555555555554</v>
      </c>
      <c r="K55" t="s">
        <v>29</v>
      </c>
      <c r="L55">
        <v>839.34</v>
      </c>
      <c r="M55">
        <v>41.966999999999999</v>
      </c>
      <c r="N55">
        <v>8.8000000000000007</v>
      </c>
    </row>
    <row r="56" spans="1:14">
      <c r="A56" t="s">
        <v>730</v>
      </c>
      <c r="B56" t="s">
        <v>27</v>
      </c>
      <c r="C56" t="s">
        <v>1036</v>
      </c>
      <c r="D56" t="s">
        <v>44</v>
      </c>
      <c r="E56">
        <v>52.6</v>
      </c>
      <c r="F56">
        <v>9</v>
      </c>
      <c r="G56">
        <v>23.67</v>
      </c>
      <c r="H56">
        <v>497.07</v>
      </c>
      <c r="I56" s="1">
        <v>43481</v>
      </c>
      <c r="J56" s="1">
        <v>0.61250000000000004</v>
      </c>
      <c r="K56" t="s">
        <v>29</v>
      </c>
      <c r="L56">
        <v>473.4</v>
      </c>
      <c r="M56">
        <v>23.67</v>
      </c>
      <c r="N56">
        <v>7.6</v>
      </c>
    </row>
    <row r="57" spans="1:14">
      <c r="A57" t="s">
        <v>903</v>
      </c>
      <c r="B57" t="s">
        <v>20</v>
      </c>
      <c r="C57" t="s">
        <v>1036</v>
      </c>
      <c r="D57" t="s">
        <v>22</v>
      </c>
      <c r="E57">
        <v>62.82</v>
      </c>
      <c r="F57">
        <v>2</v>
      </c>
      <c r="G57">
        <v>6.282</v>
      </c>
      <c r="H57">
        <v>131.922</v>
      </c>
      <c r="I57" s="1">
        <v>43482</v>
      </c>
      <c r="J57" s="1">
        <v>0.52500000000000002</v>
      </c>
      <c r="K57" t="s">
        <v>23</v>
      </c>
      <c r="L57">
        <v>125.64</v>
      </c>
      <c r="M57">
        <v>6.282</v>
      </c>
      <c r="N57">
        <v>4.9000000000000004</v>
      </c>
    </row>
    <row r="58" spans="1:14">
      <c r="A58" t="s">
        <v>810</v>
      </c>
      <c r="B58" t="s">
        <v>20</v>
      </c>
      <c r="C58" t="s">
        <v>1037</v>
      </c>
      <c r="D58" t="s">
        <v>44</v>
      </c>
      <c r="E58">
        <v>65.650000000000006</v>
      </c>
      <c r="F58">
        <v>2</v>
      </c>
      <c r="G58">
        <v>6.5650000000000004</v>
      </c>
      <c r="H58">
        <v>137.86500000000001</v>
      </c>
      <c r="I58" s="1">
        <v>43482</v>
      </c>
      <c r="J58" s="1">
        <v>0.69861111111111107</v>
      </c>
      <c r="K58" t="s">
        <v>29</v>
      </c>
      <c r="L58">
        <v>131.30000000000001</v>
      </c>
      <c r="M58">
        <v>6.5650000000000004</v>
      </c>
      <c r="N58">
        <v>6</v>
      </c>
    </row>
    <row r="59" spans="1:14">
      <c r="A59" t="s">
        <v>555</v>
      </c>
      <c r="B59" t="s">
        <v>20</v>
      </c>
      <c r="C59" t="s">
        <v>1037</v>
      </c>
      <c r="D59" t="s">
        <v>36</v>
      </c>
      <c r="E59">
        <v>71.92</v>
      </c>
      <c r="F59">
        <v>5</v>
      </c>
      <c r="G59">
        <v>17.98</v>
      </c>
      <c r="H59">
        <v>377.58</v>
      </c>
      <c r="I59" s="1">
        <v>43482</v>
      </c>
      <c r="J59" s="1">
        <v>0.62847222222222221</v>
      </c>
      <c r="K59" t="s">
        <v>33</v>
      </c>
      <c r="L59">
        <v>359.6</v>
      </c>
      <c r="M59">
        <v>17.98</v>
      </c>
      <c r="N59">
        <v>4.3</v>
      </c>
    </row>
    <row r="60" spans="1:14">
      <c r="A60" t="s">
        <v>757</v>
      </c>
      <c r="B60" t="s">
        <v>20</v>
      </c>
      <c r="C60" t="s">
        <v>1036</v>
      </c>
      <c r="D60" t="s">
        <v>36</v>
      </c>
      <c r="E60">
        <v>90.63</v>
      </c>
      <c r="F60">
        <v>9</v>
      </c>
      <c r="G60">
        <v>40.783499999999997</v>
      </c>
      <c r="H60">
        <v>856.45349999999996</v>
      </c>
      <c r="I60" s="1">
        <v>43483</v>
      </c>
      <c r="J60" s="1">
        <v>0.64444444444444449</v>
      </c>
      <c r="K60" t="s">
        <v>29</v>
      </c>
      <c r="L60">
        <v>815.67</v>
      </c>
      <c r="M60">
        <v>40.783499999999997</v>
      </c>
      <c r="N60">
        <v>5.0999999999999996</v>
      </c>
    </row>
    <row r="61" spans="1:14">
      <c r="A61" t="s">
        <v>357</v>
      </c>
      <c r="B61" t="s">
        <v>27</v>
      </c>
      <c r="C61" t="s">
        <v>1036</v>
      </c>
      <c r="D61" t="s">
        <v>22</v>
      </c>
      <c r="E61">
        <v>39.42</v>
      </c>
      <c r="F61">
        <v>1</v>
      </c>
      <c r="G61">
        <v>1.9710000000000001</v>
      </c>
      <c r="H61">
        <v>41.390999999999998</v>
      </c>
      <c r="I61" s="1">
        <v>43483</v>
      </c>
      <c r="J61" s="1">
        <v>0.63055555555555554</v>
      </c>
      <c r="K61" t="s">
        <v>29</v>
      </c>
      <c r="L61">
        <v>39.42</v>
      </c>
      <c r="M61">
        <v>1.9710000000000001</v>
      </c>
      <c r="N61">
        <v>8.4</v>
      </c>
    </row>
    <row r="62" spans="1:14">
      <c r="A62" t="s">
        <v>932</v>
      </c>
      <c r="B62" t="s">
        <v>27</v>
      </c>
      <c r="C62" t="s">
        <v>1037</v>
      </c>
      <c r="D62" t="s">
        <v>46</v>
      </c>
      <c r="E62">
        <v>60.74</v>
      </c>
      <c r="F62">
        <v>7</v>
      </c>
      <c r="G62">
        <v>21.259</v>
      </c>
      <c r="H62">
        <v>446.43900000000002</v>
      </c>
      <c r="I62" s="1">
        <v>43483</v>
      </c>
      <c r="J62" s="1">
        <v>0.68263888888888891</v>
      </c>
      <c r="K62" t="s">
        <v>23</v>
      </c>
      <c r="L62">
        <v>425.18</v>
      </c>
      <c r="M62">
        <v>21.259</v>
      </c>
      <c r="N62">
        <v>5</v>
      </c>
    </row>
    <row r="63" spans="1:14">
      <c r="A63" t="s">
        <v>1016</v>
      </c>
      <c r="B63" t="s">
        <v>20</v>
      </c>
      <c r="C63" t="s">
        <v>1037</v>
      </c>
      <c r="D63" t="s">
        <v>44</v>
      </c>
      <c r="E63">
        <v>59.59</v>
      </c>
      <c r="F63">
        <v>4</v>
      </c>
      <c r="G63">
        <v>11.917999999999999</v>
      </c>
      <c r="H63">
        <v>250.27799999999999</v>
      </c>
      <c r="I63" s="1">
        <v>43484</v>
      </c>
      <c r="J63" s="1">
        <v>0.53194444444444444</v>
      </c>
      <c r="K63" t="s">
        <v>29</v>
      </c>
      <c r="L63">
        <v>238.36</v>
      </c>
      <c r="M63">
        <v>11.917999999999999</v>
      </c>
      <c r="N63">
        <v>9.8000000000000007</v>
      </c>
    </row>
    <row r="64" spans="1:14">
      <c r="A64" t="s">
        <v>649</v>
      </c>
      <c r="B64" t="s">
        <v>20</v>
      </c>
      <c r="C64" t="s">
        <v>1037</v>
      </c>
      <c r="D64" t="s">
        <v>36</v>
      </c>
      <c r="E64">
        <v>80.930000000000007</v>
      </c>
      <c r="F64">
        <v>1</v>
      </c>
      <c r="G64">
        <v>4.0465</v>
      </c>
      <c r="H64">
        <v>84.976500000000001</v>
      </c>
      <c r="I64" s="1">
        <v>43484</v>
      </c>
      <c r="J64" s="1">
        <v>0.67222222222222228</v>
      </c>
      <c r="K64" t="s">
        <v>33</v>
      </c>
      <c r="L64">
        <v>80.930000000000007</v>
      </c>
      <c r="M64">
        <v>4.0465</v>
      </c>
      <c r="N64">
        <v>9</v>
      </c>
    </row>
    <row r="65" spans="1:14">
      <c r="A65" t="s">
        <v>947</v>
      </c>
      <c r="B65" t="s">
        <v>27</v>
      </c>
      <c r="C65" t="s">
        <v>1036</v>
      </c>
      <c r="D65" t="s">
        <v>28</v>
      </c>
      <c r="E65">
        <v>56.13</v>
      </c>
      <c r="F65">
        <v>4</v>
      </c>
      <c r="G65">
        <v>11.226000000000001</v>
      </c>
      <c r="H65">
        <v>235.74600000000001</v>
      </c>
      <c r="I65" s="1">
        <v>43484</v>
      </c>
      <c r="J65" s="1">
        <v>0.48819444444444443</v>
      </c>
      <c r="K65" t="s">
        <v>23</v>
      </c>
      <c r="L65">
        <v>224.52</v>
      </c>
      <c r="M65">
        <v>11.226000000000001</v>
      </c>
      <c r="N65">
        <v>8.6</v>
      </c>
    </row>
    <row r="66" spans="1:14">
      <c r="A66" t="s">
        <v>335</v>
      </c>
      <c r="B66" t="s">
        <v>20</v>
      </c>
      <c r="C66" t="s">
        <v>1036</v>
      </c>
      <c r="D66" t="s">
        <v>32</v>
      </c>
      <c r="E66">
        <v>88.61</v>
      </c>
      <c r="F66">
        <v>1</v>
      </c>
      <c r="G66">
        <v>4.4305000000000003</v>
      </c>
      <c r="H66">
        <v>93.040499999999994</v>
      </c>
      <c r="I66" s="1">
        <v>43484</v>
      </c>
      <c r="J66" s="1">
        <v>0.43125000000000002</v>
      </c>
      <c r="K66" t="s">
        <v>29</v>
      </c>
      <c r="L66">
        <v>88.61</v>
      </c>
      <c r="M66">
        <v>4.4305000000000003</v>
      </c>
      <c r="N66">
        <v>7.7</v>
      </c>
    </row>
    <row r="67" spans="1:14">
      <c r="A67" t="s">
        <v>196</v>
      </c>
      <c r="B67" t="s">
        <v>27</v>
      </c>
      <c r="C67" t="s">
        <v>1036</v>
      </c>
      <c r="D67" t="s">
        <v>44</v>
      </c>
      <c r="E67">
        <v>43.18</v>
      </c>
      <c r="F67">
        <v>8</v>
      </c>
      <c r="G67">
        <v>17.271999999999998</v>
      </c>
      <c r="H67">
        <v>362.71199999999999</v>
      </c>
      <c r="I67" s="1">
        <v>43484</v>
      </c>
      <c r="J67" s="1">
        <v>0.81874999999999998</v>
      </c>
      <c r="K67" t="s">
        <v>33</v>
      </c>
      <c r="L67">
        <v>345.44</v>
      </c>
      <c r="M67">
        <v>17.271999999999998</v>
      </c>
      <c r="N67">
        <v>8.3000000000000007</v>
      </c>
    </row>
    <row r="68" spans="1:14">
      <c r="A68" t="s">
        <v>383</v>
      </c>
      <c r="B68" t="s">
        <v>20</v>
      </c>
      <c r="C68" t="s">
        <v>1036</v>
      </c>
      <c r="D68" t="s">
        <v>32</v>
      </c>
      <c r="E68">
        <v>89.25</v>
      </c>
      <c r="F68">
        <v>8</v>
      </c>
      <c r="G68">
        <v>35.700000000000003</v>
      </c>
      <c r="H68">
        <v>749.7</v>
      </c>
      <c r="I68" s="1">
        <v>43485</v>
      </c>
      <c r="J68" s="1">
        <v>0.42569444444444443</v>
      </c>
      <c r="K68" t="s">
        <v>29</v>
      </c>
      <c r="L68">
        <v>714</v>
      </c>
      <c r="M68">
        <v>35.700000000000003</v>
      </c>
      <c r="N68">
        <v>4.7</v>
      </c>
    </row>
    <row r="69" spans="1:14">
      <c r="A69" t="s">
        <v>969</v>
      </c>
      <c r="B69" t="s">
        <v>27</v>
      </c>
      <c r="C69" t="s">
        <v>1037</v>
      </c>
      <c r="D69" t="s">
        <v>22</v>
      </c>
      <c r="E69">
        <v>64.08</v>
      </c>
      <c r="F69">
        <v>7</v>
      </c>
      <c r="G69">
        <v>22.428000000000001</v>
      </c>
      <c r="H69">
        <v>470.988</v>
      </c>
      <c r="I69" s="1">
        <v>43485</v>
      </c>
      <c r="J69" s="1">
        <v>0.51875000000000004</v>
      </c>
      <c r="K69" t="s">
        <v>23</v>
      </c>
      <c r="L69">
        <v>448.56</v>
      </c>
      <c r="M69">
        <v>22.428000000000001</v>
      </c>
      <c r="N69">
        <v>7.6</v>
      </c>
    </row>
    <row r="70" spans="1:14">
      <c r="A70" t="s">
        <v>472</v>
      </c>
      <c r="B70" t="s">
        <v>20</v>
      </c>
      <c r="C70" t="s">
        <v>1037</v>
      </c>
      <c r="D70" t="s">
        <v>36</v>
      </c>
      <c r="E70">
        <v>82.93</v>
      </c>
      <c r="F70">
        <v>4</v>
      </c>
      <c r="G70">
        <v>16.585999999999999</v>
      </c>
      <c r="H70">
        <v>348.30599999999998</v>
      </c>
      <c r="I70" s="1">
        <v>43485</v>
      </c>
      <c r="J70" s="1">
        <v>0.70208333333333328</v>
      </c>
      <c r="K70" t="s">
        <v>23</v>
      </c>
      <c r="L70">
        <v>331.72</v>
      </c>
      <c r="M70">
        <v>16.585999999999999</v>
      </c>
      <c r="N70">
        <v>9.6</v>
      </c>
    </row>
    <row r="71" spans="1:14">
      <c r="A71" t="s">
        <v>744</v>
      </c>
      <c r="B71" t="s">
        <v>27</v>
      </c>
      <c r="C71" t="s">
        <v>1037</v>
      </c>
      <c r="D71" t="s">
        <v>46</v>
      </c>
      <c r="E71">
        <v>15.62</v>
      </c>
      <c r="F71">
        <v>8</v>
      </c>
      <c r="G71">
        <v>6.2480000000000002</v>
      </c>
      <c r="H71">
        <v>131.208</v>
      </c>
      <c r="I71" s="1">
        <v>43485</v>
      </c>
      <c r="J71" s="1">
        <v>0.85902777777777772</v>
      </c>
      <c r="K71" t="s">
        <v>23</v>
      </c>
      <c r="L71">
        <v>124.96</v>
      </c>
      <c r="M71">
        <v>6.2480000000000002</v>
      </c>
      <c r="N71">
        <v>9.1</v>
      </c>
    </row>
    <row r="72" spans="1:14">
      <c r="A72" t="s">
        <v>743</v>
      </c>
      <c r="B72" t="s">
        <v>20</v>
      </c>
      <c r="C72" t="s">
        <v>1037</v>
      </c>
      <c r="D72" t="s">
        <v>44</v>
      </c>
      <c r="E72">
        <v>68.98</v>
      </c>
      <c r="F72">
        <v>1</v>
      </c>
      <c r="G72">
        <v>3.4489999999999998</v>
      </c>
      <c r="H72">
        <v>72.429000000000002</v>
      </c>
      <c r="I72" s="1">
        <v>43486</v>
      </c>
      <c r="J72" s="1">
        <v>0.84236111111111112</v>
      </c>
      <c r="K72" t="s">
        <v>29</v>
      </c>
      <c r="L72">
        <v>68.98</v>
      </c>
      <c r="M72">
        <v>3.4489999999999998</v>
      </c>
      <c r="N72">
        <v>4.8</v>
      </c>
    </row>
    <row r="73" spans="1:14">
      <c r="A73" t="s">
        <v>116</v>
      </c>
      <c r="B73" t="s">
        <v>27</v>
      </c>
      <c r="C73" t="s">
        <v>1036</v>
      </c>
      <c r="D73" t="s">
        <v>22</v>
      </c>
      <c r="E73">
        <v>99.19</v>
      </c>
      <c r="F73">
        <v>6</v>
      </c>
      <c r="G73">
        <v>29.757000000000001</v>
      </c>
      <c r="H73">
        <v>624.89700000000005</v>
      </c>
      <c r="I73" s="1">
        <v>43486</v>
      </c>
      <c r="J73" s="1">
        <v>0.61250000000000004</v>
      </c>
      <c r="K73" t="s">
        <v>33</v>
      </c>
      <c r="L73">
        <v>595.14</v>
      </c>
      <c r="M73">
        <v>29.757000000000001</v>
      </c>
      <c r="N73">
        <v>5.5</v>
      </c>
    </row>
    <row r="74" spans="1:14">
      <c r="A74" t="s">
        <v>115</v>
      </c>
      <c r="B74" t="s">
        <v>27</v>
      </c>
      <c r="C74" t="s">
        <v>1036</v>
      </c>
      <c r="D74" t="s">
        <v>22</v>
      </c>
      <c r="E74">
        <v>20.38</v>
      </c>
      <c r="F74">
        <v>5</v>
      </c>
      <c r="G74">
        <v>5.0949999999999998</v>
      </c>
      <c r="H74">
        <v>106.995</v>
      </c>
      <c r="I74" s="1">
        <v>43487</v>
      </c>
      <c r="J74" s="1">
        <v>0.78888888888888886</v>
      </c>
      <c r="K74" t="s">
        <v>29</v>
      </c>
      <c r="L74">
        <v>101.9</v>
      </c>
      <c r="M74">
        <v>5.0949999999999998</v>
      </c>
      <c r="N74">
        <v>6</v>
      </c>
    </row>
    <row r="75" spans="1:14">
      <c r="A75" t="s">
        <v>453</v>
      </c>
      <c r="B75" t="s">
        <v>20</v>
      </c>
      <c r="C75" t="s">
        <v>1036</v>
      </c>
      <c r="D75" t="s">
        <v>22</v>
      </c>
      <c r="E75">
        <v>81.510000000000005</v>
      </c>
      <c r="F75">
        <v>1</v>
      </c>
      <c r="G75">
        <v>4.0754999999999999</v>
      </c>
      <c r="H75">
        <v>85.585499999999996</v>
      </c>
      <c r="I75" s="1">
        <v>43487</v>
      </c>
      <c r="J75" s="1">
        <v>0.45624999999999999</v>
      </c>
      <c r="K75" t="s">
        <v>23</v>
      </c>
      <c r="L75">
        <v>81.510000000000005</v>
      </c>
      <c r="M75">
        <v>4.0754999999999999</v>
      </c>
      <c r="N75">
        <v>9.1999999999999993</v>
      </c>
    </row>
    <row r="76" spans="1:14">
      <c r="A76" t="s">
        <v>553</v>
      </c>
      <c r="B76" t="s">
        <v>20</v>
      </c>
      <c r="C76" t="s">
        <v>1037</v>
      </c>
      <c r="D76" t="s">
        <v>32</v>
      </c>
      <c r="E76">
        <v>39.39</v>
      </c>
      <c r="F76">
        <v>5</v>
      </c>
      <c r="G76">
        <v>9.8475000000000001</v>
      </c>
      <c r="H76">
        <v>206.79750000000001</v>
      </c>
      <c r="I76" s="1">
        <v>43487</v>
      </c>
      <c r="J76" s="1">
        <v>0.86527777777777781</v>
      </c>
      <c r="K76" t="s">
        <v>33</v>
      </c>
      <c r="L76">
        <v>196.95</v>
      </c>
      <c r="M76">
        <v>9.8475000000000001</v>
      </c>
      <c r="N76">
        <v>8.6999999999999993</v>
      </c>
    </row>
    <row r="77" spans="1:14">
      <c r="A77" t="s">
        <v>118</v>
      </c>
      <c r="B77" t="s">
        <v>27</v>
      </c>
      <c r="C77" t="s">
        <v>1037</v>
      </c>
      <c r="D77" t="s">
        <v>44</v>
      </c>
      <c r="E77">
        <v>19.25</v>
      </c>
      <c r="F77">
        <v>8</v>
      </c>
      <c r="G77">
        <v>7.7</v>
      </c>
      <c r="H77">
        <v>161.69999999999999</v>
      </c>
      <c r="I77" s="1">
        <v>43488</v>
      </c>
      <c r="J77" s="1">
        <v>0.77569444444444446</v>
      </c>
      <c r="K77" t="s">
        <v>23</v>
      </c>
      <c r="L77">
        <v>154</v>
      </c>
      <c r="M77">
        <v>7.7</v>
      </c>
      <c r="N77">
        <v>6.6</v>
      </c>
    </row>
    <row r="78" spans="1:14">
      <c r="A78" t="s">
        <v>176</v>
      </c>
      <c r="B78" t="s">
        <v>20</v>
      </c>
      <c r="C78" t="s">
        <v>1036</v>
      </c>
      <c r="D78" t="s">
        <v>36</v>
      </c>
      <c r="E78">
        <v>89.8</v>
      </c>
      <c r="F78">
        <v>10</v>
      </c>
      <c r="G78">
        <v>44.9</v>
      </c>
      <c r="H78">
        <v>942.9</v>
      </c>
      <c r="I78" s="1">
        <v>43488</v>
      </c>
      <c r="J78" s="1">
        <v>0.54166666666666663</v>
      </c>
      <c r="K78" t="s">
        <v>33</v>
      </c>
      <c r="L78">
        <v>898</v>
      </c>
      <c r="M78">
        <v>44.9</v>
      </c>
      <c r="N78">
        <v>5.4</v>
      </c>
    </row>
    <row r="79" spans="1:14">
      <c r="A79" t="s">
        <v>1019</v>
      </c>
      <c r="B79" t="s">
        <v>27</v>
      </c>
      <c r="C79" t="s">
        <v>1037</v>
      </c>
      <c r="D79" t="s">
        <v>22</v>
      </c>
      <c r="E79">
        <v>99.96</v>
      </c>
      <c r="F79">
        <v>7</v>
      </c>
      <c r="G79">
        <v>34.985999999999997</v>
      </c>
      <c r="H79">
        <v>734.70600000000002</v>
      </c>
      <c r="I79" s="1">
        <v>43488</v>
      </c>
      <c r="J79" s="1">
        <v>0.43958333333333333</v>
      </c>
      <c r="K79" t="s">
        <v>29</v>
      </c>
      <c r="L79">
        <v>699.72</v>
      </c>
      <c r="M79">
        <v>34.985999999999997</v>
      </c>
      <c r="N79">
        <v>6.1</v>
      </c>
    </row>
    <row r="80" spans="1:14">
      <c r="A80" t="s">
        <v>457</v>
      </c>
      <c r="B80" t="s">
        <v>27</v>
      </c>
      <c r="C80" t="s">
        <v>1036</v>
      </c>
      <c r="D80" t="s">
        <v>28</v>
      </c>
      <c r="E80">
        <v>84.05</v>
      </c>
      <c r="F80">
        <v>3</v>
      </c>
      <c r="G80">
        <v>12.6075</v>
      </c>
      <c r="H80">
        <v>264.75749999999999</v>
      </c>
      <c r="I80" s="1">
        <v>43488</v>
      </c>
      <c r="J80" s="1">
        <v>0.56180555555555556</v>
      </c>
      <c r="K80" t="s">
        <v>29</v>
      </c>
      <c r="L80">
        <v>252.15</v>
      </c>
      <c r="M80">
        <v>12.6075</v>
      </c>
      <c r="N80">
        <v>9.8000000000000007</v>
      </c>
    </row>
    <row r="81" spans="1:14">
      <c r="A81" t="s">
        <v>506</v>
      </c>
      <c r="B81" t="s">
        <v>20</v>
      </c>
      <c r="C81" t="s">
        <v>1036</v>
      </c>
      <c r="D81" t="s">
        <v>32</v>
      </c>
      <c r="E81">
        <v>83.77</v>
      </c>
      <c r="F81">
        <v>6</v>
      </c>
      <c r="G81">
        <v>25.131</v>
      </c>
      <c r="H81">
        <v>527.75099999999998</v>
      </c>
      <c r="I81" s="1">
        <v>43488</v>
      </c>
      <c r="J81" s="1">
        <v>0.50694444444444442</v>
      </c>
      <c r="K81" t="s">
        <v>23</v>
      </c>
      <c r="L81">
        <v>502.62</v>
      </c>
      <c r="M81">
        <v>25.131</v>
      </c>
      <c r="N81">
        <v>5.4</v>
      </c>
    </row>
    <row r="82" spans="1:14">
      <c r="A82" t="s">
        <v>126</v>
      </c>
      <c r="B82" t="s">
        <v>20</v>
      </c>
      <c r="C82" t="s">
        <v>1036</v>
      </c>
      <c r="D82" t="s">
        <v>32</v>
      </c>
      <c r="E82">
        <v>47.38</v>
      </c>
      <c r="F82">
        <v>4</v>
      </c>
      <c r="G82">
        <v>9.4760000000000009</v>
      </c>
      <c r="H82">
        <v>198.99600000000001</v>
      </c>
      <c r="I82" s="1">
        <v>43488</v>
      </c>
      <c r="J82" s="1">
        <v>0.43402777777777779</v>
      </c>
      <c r="K82" t="s">
        <v>29</v>
      </c>
      <c r="L82">
        <v>189.52</v>
      </c>
      <c r="M82">
        <v>9.4760000000000009</v>
      </c>
      <c r="N82">
        <v>7.1</v>
      </c>
    </row>
    <row r="83" spans="1:14">
      <c r="A83" t="s">
        <v>217</v>
      </c>
      <c r="B83" t="s">
        <v>20</v>
      </c>
      <c r="C83" t="s">
        <v>1037</v>
      </c>
      <c r="D83" t="s">
        <v>44</v>
      </c>
      <c r="E83">
        <v>38.47</v>
      </c>
      <c r="F83">
        <v>8</v>
      </c>
      <c r="G83">
        <v>15.388</v>
      </c>
      <c r="H83">
        <v>323.14800000000002</v>
      </c>
      <c r="I83" s="1">
        <v>43488</v>
      </c>
      <c r="J83" s="1">
        <v>0.49375000000000002</v>
      </c>
      <c r="K83" t="s">
        <v>29</v>
      </c>
      <c r="L83">
        <v>307.76</v>
      </c>
      <c r="M83">
        <v>15.388</v>
      </c>
      <c r="N83">
        <v>7.7</v>
      </c>
    </row>
    <row r="84" spans="1:14">
      <c r="A84" t="s">
        <v>852</v>
      </c>
      <c r="B84" t="s">
        <v>27</v>
      </c>
      <c r="C84" t="s">
        <v>1036</v>
      </c>
      <c r="D84" t="s">
        <v>46</v>
      </c>
      <c r="E84">
        <v>45.44</v>
      </c>
      <c r="F84">
        <v>7</v>
      </c>
      <c r="G84">
        <v>15.904</v>
      </c>
      <c r="H84">
        <v>333.98399999999998</v>
      </c>
      <c r="I84" s="1">
        <v>43488</v>
      </c>
      <c r="J84" s="1">
        <v>0.46875</v>
      </c>
      <c r="K84" t="s">
        <v>29</v>
      </c>
      <c r="L84">
        <v>318.08</v>
      </c>
      <c r="M84">
        <v>15.904</v>
      </c>
      <c r="N84">
        <v>9.1999999999999993</v>
      </c>
    </row>
    <row r="85" spans="1:14">
      <c r="A85" t="s">
        <v>636</v>
      </c>
      <c r="B85" t="s">
        <v>27</v>
      </c>
      <c r="C85" t="s">
        <v>1037</v>
      </c>
      <c r="D85" t="s">
        <v>28</v>
      </c>
      <c r="E85">
        <v>83.08</v>
      </c>
      <c r="F85">
        <v>1</v>
      </c>
      <c r="G85">
        <v>4.1539999999999999</v>
      </c>
      <c r="H85">
        <v>87.233999999999995</v>
      </c>
      <c r="I85" s="1">
        <v>43488</v>
      </c>
      <c r="J85" s="1">
        <v>0.71944444444444444</v>
      </c>
      <c r="K85" t="s">
        <v>23</v>
      </c>
      <c r="L85">
        <v>83.08</v>
      </c>
      <c r="M85">
        <v>4.1539999999999999</v>
      </c>
      <c r="N85">
        <v>6.4</v>
      </c>
    </row>
    <row r="86" spans="1:14">
      <c r="A86" t="s">
        <v>823</v>
      </c>
      <c r="B86" t="s">
        <v>27</v>
      </c>
      <c r="C86" t="s">
        <v>1036</v>
      </c>
      <c r="D86" t="s">
        <v>22</v>
      </c>
      <c r="E86">
        <v>10.99</v>
      </c>
      <c r="F86">
        <v>5</v>
      </c>
      <c r="G86">
        <v>2.7475000000000001</v>
      </c>
      <c r="H86">
        <v>57.697499999999998</v>
      </c>
      <c r="I86" s="1">
        <v>43488</v>
      </c>
      <c r="J86" s="1">
        <v>0.42916666666666664</v>
      </c>
      <c r="K86" t="s">
        <v>33</v>
      </c>
      <c r="L86">
        <v>54.95</v>
      </c>
      <c r="M86">
        <v>2.7475000000000001</v>
      </c>
      <c r="N86">
        <v>9.3000000000000007</v>
      </c>
    </row>
    <row r="87" spans="1:14">
      <c r="A87" t="s">
        <v>971</v>
      </c>
      <c r="B87" t="s">
        <v>20</v>
      </c>
      <c r="C87" t="s">
        <v>1037</v>
      </c>
      <c r="D87" t="s">
        <v>32</v>
      </c>
      <c r="E87">
        <v>85.72</v>
      </c>
      <c r="F87">
        <v>3</v>
      </c>
      <c r="G87">
        <v>12.858000000000001</v>
      </c>
      <c r="H87">
        <v>270.01799999999997</v>
      </c>
      <c r="I87" s="1">
        <v>43489</v>
      </c>
      <c r="J87" s="1">
        <v>0.87430555555555556</v>
      </c>
      <c r="K87" t="s">
        <v>23</v>
      </c>
      <c r="L87">
        <v>257.16000000000003</v>
      </c>
      <c r="M87">
        <v>12.858000000000001</v>
      </c>
      <c r="N87">
        <v>5.0999999999999996</v>
      </c>
    </row>
    <row r="88" spans="1:14">
      <c r="A88" t="s">
        <v>832</v>
      </c>
      <c r="B88" t="s">
        <v>20</v>
      </c>
      <c r="C88" t="s">
        <v>1036</v>
      </c>
      <c r="D88" t="s">
        <v>32</v>
      </c>
      <c r="E88">
        <v>60.87</v>
      </c>
      <c r="F88">
        <v>1</v>
      </c>
      <c r="G88">
        <v>3.0434999999999999</v>
      </c>
      <c r="H88">
        <v>63.913499999999999</v>
      </c>
      <c r="I88" s="1">
        <v>43489</v>
      </c>
      <c r="J88" s="1">
        <v>0.55833333333333335</v>
      </c>
      <c r="K88" t="s">
        <v>29</v>
      </c>
      <c r="L88">
        <v>60.87</v>
      </c>
      <c r="M88">
        <v>3.0434999999999999</v>
      </c>
      <c r="N88">
        <v>5.5</v>
      </c>
    </row>
    <row r="89" spans="1:14">
      <c r="A89" t="s">
        <v>177</v>
      </c>
      <c r="B89" t="s">
        <v>20</v>
      </c>
      <c r="C89" t="s">
        <v>1037</v>
      </c>
      <c r="D89" t="s">
        <v>22</v>
      </c>
      <c r="E89">
        <v>90.5</v>
      </c>
      <c r="F89">
        <v>10</v>
      </c>
      <c r="G89">
        <v>45.25</v>
      </c>
      <c r="H89">
        <v>950.25</v>
      </c>
      <c r="I89" s="1">
        <v>43490</v>
      </c>
      <c r="J89" s="1">
        <v>0.57499999999999996</v>
      </c>
      <c r="K89" t="s">
        <v>29</v>
      </c>
      <c r="L89">
        <v>905</v>
      </c>
      <c r="M89">
        <v>45.25</v>
      </c>
      <c r="N89">
        <v>8.1</v>
      </c>
    </row>
    <row r="90" spans="1:14">
      <c r="A90" t="s">
        <v>726</v>
      </c>
      <c r="B90" t="s">
        <v>20</v>
      </c>
      <c r="C90" t="s">
        <v>1036</v>
      </c>
      <c r="D90" t="s">
        <v>36</v>
      </c>
      <c r="E90">
        <v>70.19</v>
      </c>
      <c r="F90">
        <v>9</v>
      </c>
      <c r="G90">
        <v>31.5855</v>
      </c>
      <c r="H90">
        <v>663.29549999999995</v>
      </c>
      <c r="I90" s="1">
        <v>43490</v>
      </c>
      <c r="J90" s="1">
        <v>0.56805555555555554</v>
      </c>
      <c r="K90" t="s">
        <v>29</v>
      </c>
      <c r="L90">
        <v>631.71</v>
      </c>
      <c r="M90">
        <v>31.5855</v>
      </c>
      <c r="N90">
        <v>6.7</v>
      </c>
    </row>
    <row r="91" spans="1:14">
      <c r="A91" t="s">
        <v>219</v>
      </c>
      <c r="B91" t="s">
        <v>27</v>
      </c>
      <c r="C91" t="s">
        <v>1037</v>
      </c>
      <c r="D91" t="s">
        <v>22</v>
      </c>
      <c r="E91">
        <v>34.31</v>
      </c>
      <c r="F91">
        <v>8</v>
      </c>
      <c r="G91">
        <v>13.724</v>
      </c>
      <c r="H91">
        <v>288.20400000000001</v>
      </c>
      <c r="I91" s="1">
        <v>43490</v>
      </c>
      <c r="J91" s="1">
        <v>0.625</v>
      </c>
      <c r="K91" t="s">
        <v>23</v>
      </c>
      <c r="L91">
        <v>274.48</v>
      </c>
      <c r="M91">
        <v>13.724</v>
      </c>
      <c r="N91">
        <v>5.7</v>
      </c>
    </row>
    <row r="92" spans="1:14">
      <c r="A92" t="s">
        <v>89</v>
      </c>
      <c r="B92" t="s">
        <v>20</v>
      </c>
      <c r="C92" t="s">
        <v>1037</v>
      </c>
      <c r="D92" t="s">
        <v>46</v>
      </c>
      <c r="E92">
        <v>15.43</v>
      </c>
      <c r="F92">
        <v>1</v>
      </c>
      <c r="G92">
        <v>0.77149999999999996</v>
      </c>
      <c r="H92">
        <v>16.201499999999999</v>
      </c>
      <c r="I92" s="1">
        <v>43490</v>
      </c>
      <c r="J92" s="1">
        <v>0.65694444444444444</v>
      </c>
      <c r="K92" t="s">
        <v>33</v>
      </c>
      <c r="L92">
        <v>15.43</v>
      </c>
      <c r="M92">
        <v>0.77149999999999996</v>
      </c>
      <c r="N92">
        <v>6.1</v>
      </c>
    </row>
    <row r="93" spans="1:14">
      <c r="A93" t="s">
        <v>790</v>
      </c>
      <c r="B93" t="s">
        <v>20</v>
      </c>
      <c r="C93" t="s">
        <v>1036</v>
      </c>
      <c r="D93" t="s">
        <v>46</v>
      </c>
      <c r="E93">
        <v>84.87</v>
      </c>
      <c r="F93">
        <v>3</v>
      </c>
      <c r="G93">
        <v>12.730499999999999</v>
      </c>
      <c r="H93">
        <v>267.34050000000002</v>
      </c>
      <c r="I93" s="1">
        <v>43490</v>
      </c>
      <c r="J93" s="1">
        <v>0.77083333333333337</v>
      </c>
      <c r="K93" t="s">
        <v>23</v>
      </c>
      <c r="L93">
        <v>254.61</v>
      </c>
      <c r="M93">
        <v>12.730499999999999</v>
      </c>
      <c r="N93">
        <v>7.4</v>
      </c>
    </row>
    <row r="94" spans="1:14">
      <c r="A94" t="s">
        <v>637</v>
      </c>
      <c r="B94" t="s">
        <v>27</v>
      </c>
      <c r="C94" t="s">
        <v>1036</v>
      </c>
      <c r="D94" t="s">
        <v>46</v>
      </c>
      <c r="E94">
        <v>64.989999999999995</v>
      </c>
      <c r="F94">
        <v>1</v>
      </c>
      <c r="G94">
        <v>3.2494999999999998</v>
      </c>
      <c r="H94">
        <v>68.239500000000007</v>
      </c>
      <c r="I94" s="1">
        <v>43491</v>
      </c>
      <c r="J94" s="1">
        <v>0.42083333333333334</v>
      </c>
      <c r="K94" t="s">
        <v>33</v>
      </c>
      <c r="L94">
        <v>64.989999999999995</v>
      </c>
      <c r="M94">
        <v>3.2494999999999998</v>
      </c>
      <c r="N94">
        <v>4.5</v>
      </c>
    </row>
    <row r="95" spans="1:14">
      <c r="A95" t="s">
        <v>634</v>
      </c>
      <c r="B95" t="s">
        <v>27</v>
      </c>
      <c r="C95" t="s">
        <v>1036</v>
      </c>
      <c r="D95" t="s">
        <v>46</v>
      </c>
      <c r="E95">
        <v>36.85</v>
      </c>
      <c r="F95">
        <v>5</v>
      </c>
      <c r="G95">
        <v>9.2125000000000004</v>
      </c>
      <c r="H95">
        <v>193.46250000000001</v>
      </c>
      <c r="I95" s="1">
        <v>43491</v>
      </c>
      <c r="J95" s="1">
        <v>0.78680555555555554</v>
      </c>
      <c r="K95" t="s">
        <v>29</v>
      </c>
      <c r="L95">
        <v>184.25</v>
      </c>
      <c r="M95">
        <v>9.2125000000000004</v>
      </c>
      <c r="N95">
        <v>9.1999999999999993</v>
      </c>
    </row>
    <row r="96" spans="1:14">
      <c r="A96" t="s">
        <v>127</v>
      </c>
      <c r="B96" t="s">
        <v>27</v>
      </c>
      <c r="C96" t="s">
        <v>1036</v>
      </c>
      <c r="D96" t="s">
        <v>36</v>
      </c>
      <c r="E96">
        <v>44.86</v>
      </c>
      <c r="F96">
        <v>10</v>
      </c>
      <c r="G96">
        <v>22.43</v>
      </c>
      <c r="H96">
        <v>471.03</v>
      </c>
      <c r="I96" s="1">
        <v>43491</v>
      </c>
      <c r="J96" s="1">
        <v>0.82916666666666672</v>
      </c>
      <c r="K96" t="s">
        <v>23</v>
      </c>
      <c r="L96">
        <v>448.6</v>
      </c>
      <c r="M96">
        <v>22.43</v>
      </c>
      <c r="N96">
        <v>8.1999999999999993</v>
      </c>
    </row>
    <row r="97" spans="1:14">
      <c r="A97" t="s">
        <v>901</v>
      </c>
      <c r="B97" t="s">
        <v>20</v>
      </c>
      <c r="C97" t="s">
        <v>1037</v>
      </c>
      <c r="D97" t="s">
        <v>22</v>
      </c>
      <c r="E97">
        <v>33.81</v>
      </c>
      <c r="F97">
        <v>3</v>
      </c>
      <c r="G97">
        <v>5.0715000000000003</v>
      </c>
      <c r="H97">
        <v>106.50149999999999</v>
      </c>
      <c r="I97" s="1">
        <v>43491</v>
      </c>
      <c r="J97" s="1">
        <v>0.63263888888888886</v>
      </c>
      <c r="K97" t="s">
        <v>23</v>
      </c>
      <c r="L97">
        <v>101.43</v>
      </c>
      <c r="M97">
        <v>5.0715000000000003</v>
      </c>
      <c r="N97">
        <v>7.3</v>
      </c>
    </row>
    <row r="98" spans="1:14">
      <c r="A98" t="s">
        <v>404</v>
      </c>
      <c r="B98" t="s">
        <v>27</v>
      </c>
      <c r="C98" t="s">
        <v>1036</v>
      </c>
      <c r="D98" t="s">
        <v>36</v>
      </c>
      <c r="E98">
        <v>14.36</v>
      </c>
      <c r="F98">
        <v>10</v>
      </c>
      <c r="G98">
        <v>7.18</v>
      </c>
      <c r="H98">
        <v>150.78</v>
      </c>
      <c r="I98" s="1">
        <v>43492</v>
      </c>
      <c r="J98" s="1">
        <v>0.60277777777777775</v>
      </c>
      <c r="K98" t="s">
        <v>29</v>
      </c>
      <c r="L98">
        <v>143.6</v>
      </c>
      <c r="M98">
        <v>7.18</v>
      </c>
      <c r="N98">
        <v>5.4</v>
      </c>
    </row>
    <row r="99" spans="1:14">
      <c r="A99" t="s">
        <v>627</v>
      </c>
      <c r="B99" t="s">
        <v>20</v>
      </c>
      <c r="C99" t="s">
        <v>1036</v>
      </c>
      <c r="D99" t="s">
        <v>32</v>
      </c>
      <c r="E99">
        <v>24.24</v>
      </c>
      <c r="F99">
        <v>7</v>
      </c>
      <c r="G99">
        <v>8.484</v>
      </c>
      <c r="H99">
        <v>178.16399999999999</v>
      </c>
      <c r="I99" s="1">
        <v>43492</v>
      </c>
      <c r="J99" s="1">
        <v>0.73472222222222228</v>
      </c>
      <c r="K99" t="s">
        <v>23</v>
      </c>
      <c r="L99">
        <v>169.68</v>
      </c>
      <c r="M99">
        <v>8.484</v>
      </c>
      <c r="N99">
        <v>9.4</v>
      </c>
    </row>
    <row r="100" spans="1:14">
      <c r="A100" t="s">
        <v>424</v>
      </c>
      <c r="B100" t="s">
        <v>20</v>
      </c>
      <c r="C100" t="s">
        <v>1036</v>
      </c>
      <c r="D100" t="s">
        <v>46</v>
      </c>
      <c r="E100">
        <v>54.07</v>
      </c>
      <c r="F100">
        <v>9</v>
      </c>
      <c r="G100">
        <v>24.331499999999998</v>
      </c>
      <c r="H100">
        <v>510.9615</v>
      </c>
      <c r="I100" s="1">
        <v>43492</v>
      </c>
      <c r="J100" s="1">
        <v>0.62152777777777779</v>
      </c>
      <c r="K100" t="s">
        <v>23</v>
      </c>
      <c r="L100">
        <v>486.63</v>
      </c>
      <c r="M100">
        <v>24.331499999999998</v>
      </c>
      <c r="N100">
        <v>9.5</v>
      </c>
    </row>
    <row r="101" spans="1:14">
      <c r="A101" t="s">
        <v>533</v>
      </c>
      <c r="B101" t="s">
        <v>27</v>
      </c>
      <c r="C101" t="s">
        <v>1036</v>
      </c>
      <c r="D101" t="s">
        <v>44</v>
      </c>
      <c r="E101">
        <v>90.24</v>
      </c>
      <c r="F101">
        <v>6</v>
      </c>
      <c r="G101">
        <v>27.071999999999999</v>
      </c>
      <c r="H101">
        <v>568.51199999999994</v>
      </c>
      <c r="I101" s="1">
        <v>43492</v>
      </c>
      <c r="J101" s="1">
        <v>0.47013888888888888</v>
      </c>
      <c r="K101" t="s">
        <v>29</v>
      </c>
      <c r="L101">
        <v>541.44000000000005</v>
      </c>
      <c r="M101">
        <v>27.071999999999999</v>
      </c>
      <c r="N101">
        <v>6.2</v>
      </c>
    </row>
    <row r="102" spans="1:14">
      <c r="A102" t="s">
        <v>538</v>
      </c>
      <c r="B102" t="s">
        <v>27</v>
      </c>
      <c r="C102" t="s">
        <v>1037</v>
      </c>
      <c r="D102" t="s">
        <v>32</v>
      </c>
      <c r="E102">
        <v>69.400000000000006</v>
      </c>
      <c r="F102">
        <v>2</v>
      </c>
      <c r="G102">
        <v>6.94</v>
      </c>
      <c r="H102">
        <v>145.74</v>
      </c>
      <c r="I102" s="1">
        <v>43492</v>
      </c>
      <c r="J102" s="1">
        <v>0.82499999999999996</v>
      </c>
      <c r="K102" t="s">
        <v>23</v>
      </c>
      <c r="L102">
        <v>138.80000000000001</v>
      </c>
      <c r="M102">
        <v>6.94</v>
      </c>
      <c r="N102">
        <v>9</v>
      </c>
    </row>
    <row r="103" spans="1:14">
      <c r="A103" t="s">
        <v>494</v>
      </c>
      <c r="B103" t="s">
        <v>20</v>
      </c>
      <c r="C103" t="s">
        <v>1036</v>
      </c>
      <c r="D103" t="s">
        <v>28</v>
      </c>
      <c r="E103">
        <v>46.57</v>
      </c>
      <c r="F103">
        <v>10</v>
      </c>
      <c r="G103">
        <v>23.285</v>
      </c>
      <c r="H103">
        <v>488.98500000000001</v>
      </c>
      <c r="I103" s="1">
        <v>43492</v>
      </c>
      <c r="J103" s="1">
        <v>0.58194444444444449</v>
      </c>
      <c r="K103" t="s">
        <v>29</v>
      </c>
      <c r="L103">
        <v>465.7</v>
      </c>
      <c r="M103">
        <v>23.285</v>
      </c>
      <c r="N103">
        <v>7.6</v>
      </c>
    </row>
    <row r="104" spans="1:14">
      <c r="A104" t="s">
        <v>215</v>
      </c>
      <c r="B104" t="s">
        <v>20</v>
      </c>
      <c r="C104" t="s">
        <v>1037</v>
      </c>
      <c r="D104" t="s">
        <v>22</v>
      </c>
      <c r="E104">
        <v>86.8</v>
      </c>
      <c r="F104">
        <v>3</v>
      </c>
      <c r="G104">
        <v>13.02</v>
      </c>
      <c r="H104">
        <v>273.42</v>
      </c>
      <c r="I104" s="1">
        <v>43493</v>
      </c>
      <c r="J104" s="1">
        <v>0.69930555555555551</v>
      </c>
      <c r="K104" t="s">
        <v>23</v>
      </c>
      <c r="L104">
        <v>260.39999999999998</v>
      </c>
      <c r="M104">
        <v>13.02</v>
      </c>
      <c r="N104">
        <v>9.9</v>
      </c>
    </row>
    <row r="105" spans="1:14">
      <c r="A105" t="s">
        <v>225</v>
      </c>
      <c r="B105" t="s">
        <v>27</v>
      </c>
      <c r="C105" t="s">
        <v>1036</v>
      </c>
      <c r="D105" t="s">
        <v>32</v>
      </c>
      <c r="E105">
        <v>69.81</v>
      </c>
      <c r="F105">
        <v>4</v>
      </c>
      <c r="G105">
        <v>13.962</v>
      </c>
      <c r="H105">
        <v>293.202</v>
      </c>
      <c r="I105" s="1">
        <v>43493</v>
      </c>
      <c r="J105" s="1">
        <v>0.86805555555555558</v>
      </c>
      <c r="K105" t="s">
        <v>33</v>
      </c>
      <c r="L105">
        <v>279.24</v>
      </c>
      <c r="M105">
        <v>13.962</v>
      </c>
      <c r="N105">
        <v>5.9</v>
      </c>
    </row>
    <row r="106" spans="1:14">
      <c r="A106" t="s">
        <v>272</v>
      </c>
      <c r="B106" t="s">
        <v>27</v>
      </c>
      <c r="C106" t="s">
        <v>1037</v>
      </c>
      <c r="D106" t="s">
        <v>22</v>
      </c>
      <c r="E106">
        <v>17.41</v>
      </c>
      <c r="F106">
        <v>5</v>
      </c>
      <c r="G106">
        <v>4.3525</v>
      </c>
      <c r="H106">
        <v>91.402500000000003</v>
      </c>
      <c r="I106" s="1">
        <v>43493</v>
      </c>
      <c r="J106" s="1">
        <v>0.63611111111111107</v>
      </c>
      <c r="K106" t="s">
        <v>33</v>
      </c>
      <c r="L106">
        <v>87.05</v>
      </c>
      <c r="M106">
        <v>4.3525</v>
      </c>
      <c r="N106">
        <v>4.9000000000000004</v>
      </c>
    </row>
    <row r="107" spans="1:14">
      <c r="A107" t="s">
        <v>445</v>
      </c>
      <c r="B107" t="s">
        <v>27</v>
      </c>
      <c r="C107" t="s">
        <v>1036</v>
      </c>
      <c r="D107" t="s">
        <v>46</v>
      </c>
      <c r="E107">
        <v>23.82</v>
      </c>
      <c r="F107">
        <v>5</v>
      </c>
      <c r="G107">
        <v>5.9550000000000001</v>
      </c>
      <c r="H107">
        <v>125.05500000000001</v>
      </c>
      <c r="I107" s="1">
        <v>43493</v>
      </c>
      <c r="J107" s="1">
        <v>0.80833333333333335</v>
      </c>
      <c r="K107" t="s">
        <v>23</v>
      </c>
      <c r="L107">
        <v>119.1</v>
      </c>
      <c r="M107">
        <v>5.9550000000000001</v>
      </c>
      <c r="N107">
        <v>5.4</v>
      </c>
    </row>
    <row r="108" spans="1:14">
      <c r="A108" t="s">
        <v>579</v>
      </c>
      <c r="B108" t="s">
        <v>20</v>
      </c>
      <c r="C108" t="s">
        <v>1037</v>
      </c>
      <c r="D108" t="s">
        <v>28</v>
      </c>
      <c r="E108">
        <v>18.77</v>
      </c>
      <c r="F108">
        <v>6</v>
      </c>
      <c r="G108">
        <v>5.6310000000000002</v>
      </c>
      <c r="H108">
        <v>118.251</v>
      </c>
      <c r="I108" s="1">
        <v>43493</v>
      </c>
      <c r="J108" s="1">
        <v>0.69652777777777775</v>
      </c>
      <c r="K108" t="s">
        <v>33</v>
      </c>
      <c r="L108">
        <v>112.62</v>
      </c>
      <c r="M108">
        <v>5.6310000000000002</v>
      </c>
      <c r="N108">
        <v>5.5</v>
      </c>
    </row>
    <row r="109" spans="1:14">
      <c r="A109" t="s">
        <v>190</v>
      </c>
      <c r="B109" t="s">
        <v>27</v>
      </c>
      <c r="C109" t="s">
        <v>1036</v>
      </c>
      <c r="D109" t="s">
        <v>36</v>
      </c>
      <c r="E109">
        <v>80.97</v>
      </c>
      <c r="F109">
        <v>8</v>
      </c>
      <c r="G109">
        <v>32.387999999999998</v>
      </c>
      <c r="H109">
        <v>680.14800000000002</v>
      </c>
      <c r="I109" s="1">
        <v>43493</v>
      </c>
      <c r="J109" s="1">
        <v>0.54513888888888884</v>
      </c>
      <c r="K109" t="s">
        <v>29</v>
      </c>
      <c r="L109">
        <v>647.76</v>
      </c>
      <c r="M109">
        <v>32.387999999999998</v>
      </c>
      <c r="N109">
        <v>9.3000000000000007</v>
      </c>
    </row>
    <row r="110" spans="1:14">
      <c r="A110" t="s">
        <v>773</v>
      </c>
      <c r="B110" t="s">
        <v>27</v>
      </c>
      <c r="C110" t="s">
        <v>1037</v>
      </c>
      <c r="D110" t="s">
        <v>28</v>
      </c>
      <c r="E110">
        <v>58.76</v>
      </c>
      <c r="F110">
        <v>10</v>
      </c>
      <c r="G110">
        <v>29.38</v>
      </c>
      <c r="H110">
        <v>616.98</v>
      </c>
      <c r="I110" s="1">
        <v>43494</v>
      </c>
      <c r="J110" s="1">
        <v>0.60138888888888886</v>
      </c>
      <c r="K110" t="s">
        <v>23</v>
      </c>
      <c r="L110">
        <v>587.6</v>
      </c>
      <c r="M110">
        <v>29.38</v>
      </c>
      <c r="N110">
        <v>9</v>
      </c>
    </row>
    <row r="111" spans="1:14">
      <c r="A111" t="s">
        <v>236</v>
      </c>
      <c r="B111" t="s">
        <v>20</v>
      </c>
      <c r="C111" t="s">
        <v>1036</v>
      </c>
      <c r="D111" t="s">
        <v>36</v>
      </c>
      <c r="E111">
        <v>19.149999999999999</v>
      </c>
      <c r="F111">
        <v>6</v>
      </c>
      <c r="G111">
        <v>5.7450000000000001</v>
      </c>
      <c r="H111">
        <v>120.645</v>
      </c>
      <c r="I111" s="1">
        <v>43494</v>
      </c>
      <c r="J111" s="1">
        <v>0.41736111111111113</v>
      </c>
      <c r="K111" t="s">
        <v>33</v>
      </c>
      <c r="L111">
        <v>114.9</v>
      </c>
      <c r="M111">
        <v>5.7450000000000001</v>
      </c>
      <c r="N111">
        <v>6.8</v>
      </c>
    </row>
    <row r="112" spans="1:14">
      <c r="A112" t="s">
        <v>1031</v>
      </c>
      <c r="B112" t="s">
        <v>27</v>
      </c>
      <c r="C112" t="s">
        <v>1037</v>
      </c>
      <c r="D112" t="s">
        <v>22</v>
      </c>
      <c r="E112">
        <v>40.35</v>
      </c>
      <c r="F112">
        <v>1</v>
      </c>
      <c r="G112">
        <v>2.0175000000000001</v>
      </c>
      <c r="H112">
        <v>42.3675</v>
      </c>
      <c r="I112" s="1">
        <v>43494</v>
      </c>
      <c r="J112" s="1">
        <v>0.57361111111111107</v>
      </c>
      <c r="K112" t="s">
        <v>23</v>
      </c>
      <c r="L112">
        <v>40.35</v>
      </c>
      <c r="M112">
        <v>2.0175000000000001</v>
      </c>
      <c r="N112">
        <v>6.2</v>
      </c>
    </row>
    <row r="113" spans="1:14">
      <c r="A113" t="s">
        <v>409</v>
      </c>
      <c r="B113" t="s">
        <v>27</v>
      </c>
      <c r="C113" t="s">
        <v>1037</v>
      </c>
      <c r="D113" t="s">
        <v>46</v>
      </c>
      <c r="E113">
        <v>42.08</v>
      </c>
      <c r="F113">
        <v>6</v>
      </c>
      <c r="G113">
        <v>12.624000000000001</v>
      </c>
      <c r="H113">
        <v>265.10399999999998</v>
      </c>
      <c r="I113" s="1">
        <v>43494</v>
      </c>
      <c r="J113" s="1">
        <v>0.51736111111111116</v>
      </c>
      <c r="K113" t="s">
        <v>29</v>
      </c>
      <c r="L113">
        <v>252.48</v>
      </c>
      <c r="M113">
        <v>12.624000000000001</v>
      </c>
      <c r="N113">
        <v>8.9</v>
      </c>
    </row>
    <row r="114" spans="1:14">
      <c r="A114" t="s">
        <v>593</v>
      </c>
      <c r="B114" t="s">
        <v>20</v>
      </c>
      <c r="C114" t="s">
        <v>1036</v>
      </c>
      <c r="D114" t="s">
        <v>44</v>
      </c>
      <c r="E114">
        <v>98.52</v>
      </c>
      <c r="F114">
        <v>10</v>
      </c>
      <c r="G114">
        <v>49.26</v>
      </c>
      <c r="H114">
        <v>1034.46</v>
      </c>
      <c r="I114" s="1">
        <v>43495</v>
      </c>
      <c r="J114" s="1">
        <v>0.84930555555555554</v>
      </c>
      <c r="K114" t="s">
        <v>23</v>
      </c>
      <c r="L114">
        <v>985.2</v>
      </c>
      <c r="M114">
        <v>49.26</v>
      </c>
      <c r="N114">
        <v>4.5</v>
      </c>
    </row>
    <row r="115" spans="1:14">
      <c r="A115" t="s">
        <v>379</v>
      </c>
      <c r="B115" t="s">
        <v>27</v>
      </c>
      <c r="C115" t="s">
        <v>1036</v>
      </c>
      <c r="D115" t="s">
        <v>44</v>
      </c>
      <c r="E115">
        <v>97.03</v>
      </c>
      <c r="F115">
        <v>5</v>
      </c>
      <c r="G115">
        <v>24.2575</v>
      </c>
      <c r="H115">
        <v>509.40750000000003</v>
      </c>
      <c r="I115" s="1">
        <v>43495</v>
      </c>
      <c r="J115" s="1">
        <v>0.68333333333333335</v>
      </c>
      <c r="K115" t="s">
        <v>23</v>
      </c>
      <c r="L115">
        <v>485.15</v>
      </c>
      <c r="M115">
        <v>24.2575</v>
      </c>
      <c r="N115">
        <v>9.3000000000000007</v>
      </c>
    </row>
    <row r="116" spans="1:14">
      <c r="A116" t="s">
        <v>883</v>
      </c>
      <c r="B116" t="s">
        <v>27</v>
      </c>
      <c r="C116" t="s">
        <v>1036</v>
      </c>
      <c r="D116" t="s">
        <v>36</v>
      </c>
      <c r="E116">
        <v>22.38</v>
      </c>
      <c r="F116">
        <v>1</v>
      </c>
      <c r="G116">
        <v>1.119</v>
      </c>
      <c r="H116">
        <v>23.498999999999999</v>
      </c>
      <c r="I116" s="1">
        <v>43495</v>
      </c>
      <c r="J116" s="1">
        <v>0.71388888888888891</v>
      </c>
      <c r="K116" t="s">
        <v>33</v>
      </c>
      <c r="L116">
        <v>22.38</v>
      </c>
      <c r="M116">
        <v>1.119</v>
      </c>
      <c r="N116">
        <v>8.6</v>
      </c>
    </row>
    <row r="117" spans="1:14">
      <c r="A117" t="s">
        <v>199</v>
      </c>
      <c r="B117" t="s">
        <v>27</v>
      </c>
      <c r="C117" t="s">
        <v>1037</v>
      </c>
      <c r="D117" t="s">
        <v>36</v>
      </c>
      <c r="E117">
        <v>76.400000000000006</v>
      </c>
      <c r="F117">
        <v>2</v>
      </c>
      <c r="G117">
        <v>7.64</v>
      </c>
      <c r="H117">
        <v>160.44</v>
      </c>
      <c r="I117" s="1">
        <v>43495</v>
      </c>
      <c r="J117" s="1">
        <v>0.8208333333333333</v>
      </c>
      <c r="K117" t="s">
        <v>23</v>
      </c>
      <c r="L117">
        <v>152.80000000000001</v>
      </c>
      <c r="M117">
        <v>7.64</v>
      </c>
      <c r="N117">
        <v>6.5</v>
      </c>
    </row>
    <row r="118" spans="1:14">
      <c r="A118" t="s">
        <v>524</v>
      </c>
      <c r="B118" t="s">
        <v>27</v>
      </c>
      <c r="C118" t="s">
        <v>1037</v>
      </c>
      <c r="D118" t="s">
        <v>32</v>
      </c>
      <c r="E118">
        <v>22.96</v>
      </c>
      <c r="F118">
        <v>1</v>
      </c>
      <c r="G118">
        <v>1.1479999999999999</v>
      </c>
      <c r="H118">
        <v>24.108000000000001</v>
      </c>
      <c r="I118" s="1">
        <v>43495</v>
      </c>
      <c r="J118" s="1">
        <v>0.86597222222222225</v>
      </c>
      <c r="K118" t="s">
        <v>29</v>
      </c>
      <c r="L118">
        <v>22.96</v>
      </c>
      <c r="M118">
        <v>1.1479999999999999</v>
      </c>
      <c r="N118">
        <v>4.3</v>
      </c>
    </row>
    <row r="119" spans="1:14">
      <c r="A119" t="s">
        <v>783</v>
      </c>
      <c r="B119" t="s">
        <v>20</v>
      </c>
      <c r="C119" t="s">
        <v>1036</v>
      </c>
      <c r="D119" t="s">
        <v>32</v>
      </c>
      <c r="E119">
        <v>10.53</v>
      </c>
      <c r="F119">
        <v>5</v>
      </c>
      <c r="G119">
        <v>2.6324999999999998</v>
      </c>
      <c r="H119">
        <v>55.282499999999999</v>
      </c>
      <c r="I119" s="1">
        <v>43495</v>
      </c>
      <c r="J119" s="1">
        <v>0.61319444444444449</v>
      </c>
      <c r="K119" t="s">
        <v>33</v>
      </c>
      <c r="L119">
        <v>52.65</v>
      </c>
      <c r="M119">
        <v>2.6324999999999998</v>
      </c>
      <c r="N119">
        <v>5.8</v>
      </c>
    </row>
    <row r="120" spans="1:14">
      <c r="A120" t="s">
        <v>263</v>
      </c>
      <c r="B120" t="s">
        <v>20</v>
      </c>
      <c r="C120" t="s">
        <v>1037</v>
      </c>
      <c r="D120" t="s">
        <v>28</v>
      </c>
      <c r="E120">
        <v>37.06</v>
      </c>
      <c r="F120">
        <v>4</v>
      </c>
      <c r="G120">
        <v>7.4119999999999999</v>
      </c>
      <c r="H120">
        <v>155.65199999999999</v>
      </c>
      <c r="I120" s="1">
        <v>43496</v>
      </c>
      <c r="J120" s="1">
        <v>0.68333333333333335</v>
      </c>
      <c r="K120" t="s">
        <v>23</v>
      </c>
      <c r="L120">
        <v>148.24</v>
      </c>
      <c r="M120">
        <v>7.4119999999999999</v>
      </c>
      <c r="N120">
        <v>9.6999999999999993</v>
      </c>
    </row>
    <row r="121" spans="1:14">
      <c r="A121" t="s">
        <v>323</v>
      </c>
      <c r="B121" t="s">
        <v>27</v>
      </c>
      <c r="C121" t="s">
        <v>1036</v>
      </c>
      <c r="D121" t="s">
        <v>36</v>
      </c>
      <c r="E121">
        <v>23.75</v>
      </c>
      <c r="F121">
        <v>9</v>
      </c>
      <c r="G121">
        <v>10.6875</v>
      </c>
      <c r="H121">
        <v>224.4375</v>
      </c>
      <c r="I121" s="1">
        <v>43496</v>
      </c>
      <c r="J121" s="1">
        <v>0.50138888888888888</v>
      </c>
      <c r="K121" t="s">
        <v>29</v>
      </c>
      <c r="L121">
        <v>213.75</v>
      </c>
      <c r="M121">
        <v>10.6875</v>
      </c>
      <c r="N121">
        <v>9.5</v>
      </c>
    </row>
    <row r="122" spans="1:14">
      <c r="A122" t="s">
        <v>750</v>
      </c>
      <c r="B122" t="s">
        <v>20</v>
      </c>
      <c r="C122" t="s">
        <v>1037</v>
      </c>
      <c r="D122" t="s">
        <v>46</v>
      </c>
      <c r="E122">
        <v>98.7</v>
      </c>
      <c r="F122">
        <v>8</v>
      </c>
      <c r="G122">
        <v>39.479999999999997</v>
      </c>
      <c r="H122">
        <v>829.08</v>
      </c>
      <c r="I122" s="1">
        <v>43496</v>
      </c>
      <c r="J122" s="1">
        <v>0.44166666666666665</v>
      </c>
      <c r="K122" t="s">
        <v>23</v>
      </c>
      <c r="L122">
        <v>789.6</v>
      </c>
      <c r="M122">
        <v>39.479999999999997</v>
      </c>
      <c r="N122">
        <v>8.5</v>
      </c>
    </row>
    <row r="123" spans="1:14">
      <c r="A123" t="s">
        <v>845</v>
      </c>
      <c r="B123" t="s">
        <v>27</v>
      </c>
      <c r="C123" t="s">
        <v>1036</v>
      </c>
      <c r="D123" t="s">
        <v>46</v>
      </c>
      <c r="E123">
        <v>62.18</v>
      </c>
      <c r="F123">
        <v>10</v>
      </c>
      <c r="G123">
        <v>31.09</v>
      </c>
      <c r="H123">
        <v>652.89</v>
      </c>
      <c r="I123" s="1">
        <v>43496</v>
      </c>
      <c r="J123" s="1">
        <v>0.43958333333333333</v>
      </c>
      <c r="K123" t="s">
        <v>23</v>
      </c>
      <c r="L123">
        <v>621.79999999999995</v>
      </c>
      <c r="M123">
        <v>31.09</v>
      </c>
      <c r="N123">
        <v>6</v>
      </c>
    </row>
    <row r="124" spans="1:14">
      <c r="A124" t="s">
        <v>138</v>
      </c>
      <c r="B124" t="s">
        <v>27</v>
      </c>
      <c r="C124" t="s">
        <v>1036</v>
      </c>
      <c r="D124" t="s">
        <v>28</v>
      </c>
      <c r="E124">
        <v>23.07</v>
      </c>
      <c r="F124">
        <v>9</v>
      </c>
      <c r="G124">
        <v>10.381500000000001</v>
      </c>
      <c r="H124">
        <v>218.01150000000001</v>
      </c>
      <c r="I124" s="1">
        <v>43497</v>
      </c>
      <c r="J124" s="1">
        <v>0.47708333333333336</v>
      </c>
      <c r="K124" t="s">
        <v>29</v>
      </c>
      <c r="L124">
        <v>207.63</v>
      </c>
      <c r="M124">
        <v>10.381500000000001</v>
      </c>
      <c r="N124">
        <v>4.9000000000000004</v>
      </c>
    </row>
    <row r="125" spans="1:14">
      <c r="A125" t="s">
        <v>575</v>
      </c>
      <c r="B125" t="s">
        <v>20</v>
      </c>
      <c r="C125" t="s">
        <v>1036</v>
      </c>
      <c r="D125" t="s">
        <v>44</v>
      </c>
      <c r="E125">
        <v>87.48</v>
      </c>
      <c r="F125">
        <v>6</v>
      </c>
      <c r="G125">
        <v>26.244</v>
      </c>
      <c r="H125">
        <v>551.12400000000002</v>
      </c>
      <c r="I125" s="1">
        <v>43497</v>
      </c>
      <c r="J125" s="1">
        <v>0.77986111111111112</v>
      </c>
      <c r="K125" t="s">
        <v>23</v>
      </c>
      <c r="L125">
        <v>524.88</v>
      </c>
      <c r="M125">
        <v>26.244</v>
      </c>
      <c r="N125">
        <v>5.0999999999999996</v>
      </c>
    </row>
    <row r="126" spans="1:14">
      <c r="A126" t="s">
        <v>150</v>
      </c>
      <c r="B126" t="s">
        <v>20</v>
      </c>
      <c r="C126" t="s">
        <v>1036</v>
      </c>
      <c r="D126" t="s">
        <v>32</v>
      </c>
      <c r="E126">
        <v>80.790000000000006</v>
      </c>
      <c r="F126">
        <v>9</v>
      </c>
      <c r="G126">
        <v>36.355499999999999</v>
      </c>
      <c r="H126">
        <v>763.46550000000002</v>
      </c>
      <c r="I126" s="1">
        <v>43497</v>
      </c>
      <c r="J126" s="1">
        <v>0.85486111111111107</v>
      </c>
      <c r="K126" t="s">
        <v>33</v>
      </c>
      <c r="L126">
        <v>727.11</v>
      </c>
      <c r="M126">
        <v>36.355499999999999</v>
      </c>
      <c r="N126">
        <v>9.5</v>
      </c>
    </row>
    <row r="127" spans="1:14">
      <c r="A127" t="s">
        <v>77</v>
      </c>
      <c r="B127" t="s">
        <v>20</v>
      </c>
      <c r="C127" t="s">
        <v>1037</v>
      </c>
      <c r="D127" t="s">
        <v>32</v>
      </c>
      <c r="E127">
        <v>56.11</v>
      </c>
      <c r="F127">
        <v>2</v>
      </c>
      <c r="G127">
        <v>5.6109999999999998</v>
      </c>
      <c r="H127">
        <v>117.831</v>
      </c>
      <c r="I127" s="1">
        <v>43498</v>
      </c>
      <c r="J127" s="1">
        <v>0.42430555555555555</v>
      </c>
      <c r="K127" t="s">
        <v>29</v>
      </c>
      <c r="L127">
        <v>112.22</v>
      </c>
      <c r="M127">
        <v>5.6109999999999998</v>
      </c>
      <c r="N127">
        <v>6.3</v>
      </c>
    </row>
    <row r="128" spans="1:14">
      <c r="A128" t="s">
        <v>781</v>
      </c>
      <c r="B128" t="s">
        <v>20</v>
      </c>
      <c r="C128" t="s">
        <v>1036</v>
      </c>
      <c r="D128" t="s">
        <v>44</v>
      </c>
      <c r="E128">
        <v>38.42</v>
      </c>
      <c r="F128">
        <v>1</v>
      </c>
      <c r="G128">
        <v>1.921</v>
      </c>
      <c r="H128">
        <v>40.341000000000001</v>
      </c>
      <c r="I128" s="1">
        <v>43498</v>
      </c>
      <c r="J128" s="1">
        <v>0.68958333333333333</v>
      </c>
      <c r="K128" t="s">
        <v>29</v>
      </c>
      <c r="L128">
        <v>38.42</v>
      </c>
      <c r="M128">
        <v>1.921</v>
      </c>
      <c r="N128">
        <v>8.6</v>
      </c>
    </row>
    <row r="129" spans="1:14">
      <c r="A129" t="s">
        <v>516</v>
      </c>
      <c r="B129" t="s">
        <v>27</v>
      </c>
      <c r="C129" t="s">
        <v>1037</v>
      </c>
      <c r="D129" t="s">
        <v>44</v>
      </c>
      <c r="E129">
        <v>65.97</v>
      </c>
      <c r="F129">
        <v>8</v>
      </c>
      <c r="G129">
        <v>26.388000000000002</v>
      </c>
      <c r="H129">
        <v>554.14800000000002</v>
      </c>
      <c r="I129" s="1">
        <v>43498</v>
      </c>
      <c r="J129" s="1">
        <v>0.85347222222222219</v>
      </c>
      <c r="K129" t="s">
        <v>29</v>
      </c>
      <c r="L129">
        <v>527.76</v>
      </c>
      <c r="M129">
        <v>26.388000000000002</v>
      </c>
      <c r="N129">
        <v>8.4</v>
      </c>
    </row>
    <row r="130" spans="1:14">
      <c r="A130" t="s">
        <v>967</v>
      </c>
      <c r="B130" t="s">
        <v>20</v>
      </c>
      <c r="C130" t="s">
        <v>1036</v>
      </c>
      <c r="D130" t="s">
        <v>46</v>
      </c>
      <c r="E130">
        <v>83.35</v>
      </c>
      <c r="F130">
        <v>2</v>
      </c>
      <c r="G130">
        <v>8.3350000000000009</v>
      </c>
      <c r="H130">
        <v>175.035</v>
      </c>
      <c r="I130" s="1">
        <v>43498</v>
      </c>
      <c r="J130" s="1">
        <v>0.58680555555555558</v>
      </c>
      <c r="K130" t="s">
        <v>33</v>
      </c>
      <c r="L130">
        <v>166.7</v>
      </c>
      <c r="M130">
        <v>8.3350000000000009</v>
      </c>
      <c r="N130">
        <v>9.5</v>
      </c>
    </row>
    <row r="131" spans="1:14">
      <c r="A131" t="s">
        <v>313</v>
      </c>
      <c r="B131" t="s">
        <v>27</v>
      </c>
      <c r="C131" t="s">
        <v>1036</v>
      </c>
      <c r="D131" t="s">
        <v>46</v>
      </c>
      <c r="E131">
        <v>95.42</v>
      </c>
      <c r="F131">
        <v>4</v>
      </c>
      <c r="G131">
        <v>19.084</v>
      </c>
      <c r="H131">
        <v>400.76400000000001</v>
      </c>
      <c r="I131" s="1">
        <v>43498</v>
      </c>
      <c r="J131" s="1">
        <v>0.55763888888888891</v>
      </c>
      <c r="K131" t="s">
        <v>23</v>
      </c>
      <c r="L131">
        <v>381.68</v>
      </c>
      <c r="M131">
        <v>19.084</v>
      </c>
      <c r="N131">
        <v>6.4</v>
      </c>
    </row>
    <row r="132" spans="1:14">
      <c r="A132" t="s">
        <v>951</v>
      </c>
      <c r="B132" t="s">
        <v>27</v>
      </c>
      <c r="C132" t="s">
        <v>1036</v>
      </c>
      <c r="D132" t="s">
        <v>28</v>
      </c>
      <c r="E132">
        <v>35.49</v>
      </c>
      <c r="F132">
        <v>6</v>
      </c>
      <c r="G132">
        <v>10.647</v>
      </c>
      <c r="H132">
        <v>223.58699999999999</v>
      </c>
      <c r="I132" s="1">
        <v>43498</v>
      </c>
      <c r="J132" s="1">
        <v>0.52777777777777779</v>
      </c>
      <c r="K132" t="s">
        <v>29</v>
      </c>
      <c r="L132">
        <v>212.94</v>
      </c>
      <c r="M132">
        <v>10.647</v>
      </c>
      <c r="N132">
        <v>4.0999999999999996</v>
      </c>
    </row>
    <row r="133" spans="1:14">
      <c r="A133" t="s">
        <v>498</v>
      </c>
      <c r="B133" t="s">
        <v>27</v>
      </c>
      <c r="C133" t="s">
        <v>1036</v>
      </c>
      <c r="D133" t="s">
        <v>36</v>
      </c>
      <c r="E133">
        <v>73.95</v>
      </c>
      <c r="F133">
        <v>4</v>
      </c>
      <c r="G133">
        <v>14.79</v>
      </c>
      <c r="H133">
        <v>310.58999999999997</v>
      </c>
      <c r="I133" s="1">
        <v>43499</v>
      </c>
      <c r="J133" s="1">
        <v>0.41805555555555557</v>
      </c>
      <c r="K133" t="s">
        <v>29</v>
      </c>
      <c r="L133">
        <v>295.8</v>
      </c>
      <c r="M133">
        <v>14.79</v>
      </c>
      <c r="N133">
        <v>6.1</v>
      </c>
    </row>
    <row r="134" spans="1:14">
      <c r="A134" t="s">
        <v>86</v>
      </c>
      <c r="B134" t="s">
        <v>20</v>
      </c>
      <c r="C134" t="s">
        <v>1037</v>
      </c>
      <c r="D134" t="s">
        <v>44</v>
      </c>
      <c r="E134">
        <v>91.4</v>
      </c>
      <c r="F134">
        <v>7</v>
      </c>
      <c r="G134">
        <v>31.99</v>
      </c>
      <c r="H134">
        <v>671.79</v>
      </c>
      <c r="I134" s="1">
        <v>43499</v>
      </c>
      <c r="J134" s="1">
        <v>0.42986111111111114</v>
      </c>
      <c r="K134" t="s">
        <v>29</v>
      </c>
      <c r="L134">
        <v>639.79999999999995</v>
      </c>
      <c r="M134">
        <v>31.99</v>
      </c>
      <c r="N134">
        <v>9.5</v>
      </c>
    </row>
    <row r="135" spans="1:14">
      <c r="A135" t="s">
        <v>602</v>
      </c>
      <c r="B135" t="s">
        <v>27</v>
      </c>
      <c r="C135" t="s">
        <v>1036</v>
      </c>
      <c r="D135" t="s">
        <v>36</v>
      </c>
      <c r="E135">
        <v>49.33</v>
      </c>
      <c r="F135">
        <v>10</v>
      </c>
      <c r="G135">
        <v>24.664999999999999</v>
      </c>
      <c r="H135">
        <v>517.96500000000003</v>
      </c>
      <c r="I135" s="1">
        <v>43499</v>
      </c>
      <c r="J135" s="1">
        <v>0.69444444444444442</v>
      </c>
      <c r="K135" t="s">
        <v>33</v>
      </c>
      <c r="L135">
        <v>493.3</v>
      </c>
      <c r="M135">
        <v>24.664999999999999</v>
      </c>
      <c r="N135">
        <v>9.4</v>
      </c>
    </row>
    <row r="136" spans="1:14">
      <c r="A136" t="s">
        <v>496</v>
      </c>
      <c r="B136" t="s">
        <v>27</v>
      </c>
      <c r="C136" t="s">
        <v>1037</v>
      </c>
      <c r="D136" t="s">
        <v>44</v>
      </c>
      <c r="E136">
        <v>40.520000000000003</v>
      </c>
      <c r="F136">
        <v>5</v>
      </c>
      <c r="G136">
        <v>10.130000000000001</v>
      </c>
      <c r="H136">
        <v>212.73</v>
      </c>
      <c r="I136" s="1">
        <v>43499</v>
      </c>
      <c r="J136" s="1">
        <v>0.6381944444444444</v>
      </c>
      <c r="K136" t="s">
        <v>29</v>
      </c>
      <c r="L136">
        <v>202.6</v>
      </c>
      <c r="M136">
        <v>10.130000000000001</v>
      </c>
      <c r="N136">
        <v>4.5</v>
      </c>
    </row>
    <row r="137" spans="1:14">
      <c r="A137" t="s">
        <v>438</v>
      </c>
      <c r="B137" t="s">
        <v>20</v>
      </c>
      <c r="C137" t="s">
        <v>1037</v>
      </c>
      <c r="D137" t="s">
        <v>32</v>
      </c>
      <c r="E137">
        <v>13.98</v>
      </c>
      <c r="F137">
        <v>1</v>
      </c>
      <c r="G137">
        <v>0.69899999999999995</v>
      </c>
      <c r="H137">
        <v>14.679</v>
      </c>
      <c r="I137" s="1">
        <v>43500</v>
      </c>
      <c r="J137" s="1">
        <v>0.56805555555555554</v>
      </c>
      <c r="K137" t="s">
        <v>23</v>
      </c>
      <c r="L137">
        <v>13.98</v>
      </c>
      <c r="M137">
        <v>0.69899999999999995</v>
      </c>
      <c r="N137">
        <v>9.8000000000000007</v>
      </c>
    </row>
    <row r="138" spans="1:14">
      <c r="A138" t="s">
        <v>749</v>
      </c>
      <c r="B138" t="s">
        <v>27</v>
      </c>
      <c r="C138" t="s">
        <v>1036</v>
      </c>
      <c r="D138" t="s">
        <v>22</v>
      </c>
      <c r="E138">
        <v>13.85</v>
      </c>
      <c r="F138">
        <v>9</v>
      </c>
      <c r="G138">
        <v>6.2324999999999999</v>
      </c>
      <c r="H138">
        <v>130.88249999999999</v>
      </c>
      <c r="I138" s="1">
        <v>43500</v>
      </c>
      <c r="J138" s="1">
        <v>0.53472222222222221</v>
      </c>
      <c r="K138" t="s">
        <v>23</v>
      </c>
      <c r="L138">
        <v>124.65</v>
      </c>
      <c r="M138">
        <v>6.2324999999999999</v>
      </c>
      <c r="N138">
        <v>6</v>
      </c>
    </row>
    <row r="139" spans="1:14">
      <c r="A139" t="s">
        <v>178</v>
      </c>
      <c r="B139" t="s">
        <v>20</v>
      </c>
      <c r="C139" t="s">
        <v>1036</v>
      </c>
      <c r="D139" t="s">
        <v>22</v>
      </c>
      <c r="E139">
        <v>68.599999999999994</v>
      </c>
      <c r="F139">
        <v>10</v>
      </c>
      <c r="G139">
        <v>34.299999999999997</v>
      </c>
      <c r="H139">
        <v>720.3</v>
      </c>
      <c r="I139" s="1">
        <v>43501</v>
      </c>
      <c r="J139" s="1">
        <v>0.83125000000000004</v>
      </c>
      <c r="K139" t="s">
        <v>29</v>
      </c>
      <c r="L139">
        <v>686</v>
      </c>
      <c r="M139">
        <v>34.299999999999997</v>
      </c>
      <c r="N139">
        <v>9.1</v>
      </c>
    </row>
    <row r="140" spans="1:14">
      <c r="A140" t="s">
        <v>933</v>
      </c>
      <c r="B140" t="s">
        <v>20</v>
      </c>
      <c r="C140" t="s">
        <v>1036</v>
      </c>
      <c r="D140" t="s">
        <v>44</v>
      </c>
      <c r="E140">
        <v>47.27</v>
      </c>
      <c r="F140">
        <v>6</v>
      </c>
      <c r="G140">
        <v>14.180999999999999</v>
      </c>
      <c r="H140">
        <v>297.80099999999999</v>
      </c>
      <c r="I140" s="1">
        <v>43501</v>
      </c>
      <c r="J140" s="1">
        <v>0.4284722222222222</v>
      </c>
      <c r="K140" t="s">
        <v>29</v>
      </c>
      <c r="L140">
        <v>283.62</v>
      </c>
      <c r="M140">
        <v>14.180999999999999</v>
      </c>
      <c r="N140">
        <v>8.8000000000000007</v>
      </c>
    </row>
    <row r="141" spans="1:14">
      <c r="A141" t="s">
        <v>347</v>
      </c>
      <c r="B141" t="s">
        <v>20</v>
      </c>
      <c r="C141" t="s">
        <v>1037</v>
      </c>
      <c r="D141" t="s">
        <v>46</v>
      </c>
      <c r="E141">
        <v>69.33</v>
      </c>
      <c r="F141">
        <v>2</v>
      </c>
      <c r="G141">
        <v>6.9329999999999998</v>
      </c>
      <c r="H141">
        <v>145.59299999999999</v>
      </c>
      <c r="I141" s="1">
        <v>43501</v>
      </c>
      <c r="J141" s="1">
        <v>0.79513888888888884</v>
      </c>
      <c r="K141" t="s">
        <v>23</v>
      </c>
      <c r="L141">
        <v>138.66</v>
      </c>
      <c r="M141">
        <v>6.9329999999999998</v>
      </c>
      <c r="N141">
        <v>9.6999999999999993</v>
      </c>
    </row>
    <row r="142" spans="1:14">
      <c r="A142" t="s">
        <v>147</v>
      </c>
      <c r="B142" t="s">
        <v>20</v>
      </c>
      <c r="C142" t="s">
        <v>1036</v>
      </c>
      <c r="D142" t="s">
        <v>22</v>
      </c>
      <c r="E142">
        <v>98.21</v>
      </c>
      <c r="F142">
        <v>3</v>
      </c>
      <c r="G142">
        <v>14.7315</v>
      </c>
      <c r="H142">
        <v>309.36149999999998</v>
      </c>
      <c r="I142" s="1">
        <v>43501</v>
      </c>
      <c r="J142" s="1">
        <v>0.44513888888888886</v>
      </c>
      <c r="K142" t="s">
        <v>33</v>
      </c>
      <c r="L142">
        <v>294.63</v>
      </c>
      <c r="M142">
        <v>14.7315</v>
      </c>
      <c r="N142">
        <v>7.8</v>
      </c>
    </row>
    <row r="143" spans="1:14">
      <c r="A143" t="s">
        <v>761</v>
      </c>
      <c r="B143" t="s">
        <v>20</v>
      </c>
      <c r="C143" t="s">
        <v>1036</v>
      </c>
      <c r="D143" t="s">
        <v>22</v>
      </c>
      <c r="E143">
        <v>28.5</v>
      </c>
      <c r="F143">
        <v>8</v>
      </c>
      <c r="G143">
        <v>11.4</v>
      </c>
      <c r="H143">
        <v>239.4</v>
      </c>
      <c r="I143" s="1">
        <v>43502</v>
      </c>
      <c r="J143" s="1">
        <v>0.6</v>
      </c>
      <c r="K143" t="s">
        <v>29</v>
      </c>
      <c r="L143">
        <v>228</v>
      </c>
      <c r="M143">
        <v>11.4</v>
      </c>
      <c r="N143">
        <v>6.6</v>
      </c>
    </row>
    <row r="144" spans="1:14">
      <c r="A144" t="s">
        <v>984</v>
      </c>
      <c r="B144" t="s">
        <v>20</v>
      </c>
      <c r="C144" t="s">
        <v>1037</v>
      </c>
      <c r="D144" t="s">
        <v>32</v>
      </c>
      <c r="E144">
        <v>35.81</v>
      </c>
      <c r="F144">
        <v>5</v>
      </c>
      <c r="G144">
        <v>8.9525000000000006</v>
      </c>
      <c r="H144">
        <v>188.0025</v>
      </c>
      <c r="I144" s="1">
        <v>43502</v>
      </c>
      <c r="J144" s="1">
        <v>0.78055555555555556</v>
      </c>
      <c r="K144" t="s">
        <v>23</v>
      </c>
      <c r="L144">
        <v>179.05</v>
      </c>
      <c r="M144">
        <v>8.9525000000000006</v>
      </c>
      <c r="N144">
        <v>7.9</v>
      </c>
    </row>
    <row r="145" spans="1:14">
      <c r="A145" t="s">
        <v>414</v>
      </c>
      <c r="B145" t="s">
        <v>20</v>
      </c>
      <c r="C145" t="s">
        <v>1037</v>
      </c>
      <c r="D145" t="s">
        <v>46</v>
      </c>
      <c r="E145">
        <v>96.98</v>
      </c>
      <c r="F145">
        <v>4</v>
      </c>
      <c r="G145">
        <v>19.396000000000001</v>
      </c>
      <c r="H145">
        <v>407.31599999999997</v>
      </c>
      <c r="I145" s="1">
        <v>43502</v>
      </c>
      <c r="J145" s="1">
        <v>0.72222222222222221</v>
      </c>
      <c r="K145" t="s">
        <v>23</v>
      </c>
      <c r="L145">
        <v>387.92</v>
      </c>
      <c r="M145">
        <v>19.396000000000001</v>
      </c>
      <c r="N145">
        <v>9.4</v>
      </c>
    </row>
    <row r="146" spans="1:14">
      <c r="A146" t="s">
        <v>809</v>
      </c>
      <c r="B146" t="s">
        <v>27</v>
      </c>
      <c r="C146" t="s">
        <v>1036</v>
      </c>
      <c r="D146" t="s">
        <v>44</v>
      </c>
      <c r="E146">
        <v>52.42</v>
      </c>
      <c r="F146">
        <v>1</v>
      </c>
      <c r="G146">
        <v>2.621</v>
      </c>
      <c r="H146">
        <v>55.040999999999997</v>
      </c>
      <c r="I146" s="1">
        <v>43502</v>
      </c>
      <c r="J146" s="1">
        <v>0.43194444444444446</v>
      </c>
      <c r="K146" t="s">
        <v>33</v>
      </c>
      <c r="L146">
        <v>52.42</v>
      </c>
      <c r="M146">
        <v>2.621</v>
      </c>
      <c r="N146">
        <v>6.3</v>
      </c>
    </row>
    <row r="147" spans="1:14">
      <c r="A147" t="s">
        <v>130</v>
      </c>
      <c r="B147" t="s">
        <v>27</v>
      </c>
      <c r="C147" t="s">
        <v>1037</v>
      </c>
      <c r="D147" t="s">
        <v>22</v>
      </c>
      <c r="E147">
        <v>89.75</v>
      </c>
      <c r="F147">
        <v>1</v>
      </c>
      <c r="G147">
        <v>4.4874999999999998</v>
      </c>
      <c r="H147">
        <v>94.237499999999997</v>
      </c>
      <c r="I147" s="1">
        <v>43502</v>
      </c>
      <c r="J147" s="1">
        <v>0.83680555555555558</v>
      </c>
      <c r="K147" t="s">
        <v>33</v>
      </c>
      <c r="L147">
        <v>89.75</v>
      </c>
      <c r="M147">
        <v>4.4874999999999998</v>
      </c>
      <c r="N147">
        <v>6.6</v>
      </c>
    </row>
    <row r="148" spans="1:14">
      <c r="A148" t="s">
        <v>70</v>
      </c>
      <c r="B148" t="s">
        <v>20</v>
      </c>
      <c r="C148" t="s">
        <v>1036</v>
      </c>
      <c r="D148" t="s">
        <v>44</v>
      </c>
      <c r="E148">
        <v>99.42</v>
      </c>
      <c r="F148">
        <v>4</v>
      </c>
      <c r="G148">
        <v>19.884</v>
      </c>
      <c r="H148">
        <v>417.56400000000002</v>
      </c>
      <c r="I148" s="1">
        <v>43502</v>
      </c>
      <c r="J148" s="1">
        <v>0.44583333333333336</v>
      </c>
      <c r="K148" t="s">
        <v>23</v>
      </c>
      <c r="L148">
        <v>397.68</v>
      </c>
      <c r="M148">
        <v>19.884</v>
      </c>
      <c r="N148">
        <v>7.5</v>
      </c>
    </row>
    <row r="149" spans="1:14">
      <c r="A149" t="s">
        <v>475</v>
      </c>
      <c r="B149" t="s">
        <v>27</v>
      </c>
      <c r="C149" t="s">
        <v>1036</v>
      </c>
      <c r="D149" t="s">
        <v>28</v>
      </c>
      <c r="E149">
        <v>40.86</v>
      </c>
      <c r="F149">
        <v>8</v>
      </c>
      <c r="G149">
        <v>16.344000000000001</v>
      </c>
      <c r="H149">
        <v>343.22399999999999</v>
      </c>
      <c r="I149" s="1">
        <v>43503</v>
      </c>
      <c r="J149" s="1">
        <v>0.60972222222222228</v>
      </c>
      <c r="K149" t="s">
        <v>33</v>
      </c>
      <c r="L149">
        <v>326.88</v>
      </c>
      <c r="M149">
        <v>16.344000000000001</v>
      </c>
      <c r="N149">
        <v>6.5</v>
      </c>
    </row>
    <row r="150" spans="1:14">
      <c r="A150" t="s">
        <v>1010</v>
      </c>
      <c r="B150" t="s">
        <v>27</v>
      </c>
      <c r="C150" t="s">
        <v>1037</v>
      </c>
      <c r="D150" t="s">
        <v>46</v>
      </c>
      <c r="E150">
        <v>86.13</v>
      </c>
      <c r="F150">
        <v>2</v>
      </c>
      <c r="G150">
        <v>8.6129999999999995</v>
      </c>
      <c r="H150">
        <v>180.87299999999999</v>
      </c>
      <c r="I150" s="1">
        <v>43503</v>
      </c>
      <c r="J150" s="1">
        <v>0.74930555555555556</v>
      </c>
      <c r="K150" t="s">
        <v>29</v>
      </c>
      <c r="L150">
        <v>172.26</v>
      </c>
      <c r="M150">
        <v>8.6129999999999995</v>
      </c>
      <c r="N150">
        <v>8.1999999999999993</v>
      </c>
    </row>
    <row r="151" spans="1:14">
      <c r="A151" t="s">
        <v>736</v>
      </c>
      <c r="B151" t="s">
        <v>27</v>
      </c>
      <c r="C151" t="s">
        <v>1036</v>
      </c>
      <c r="D151" t="s">
        <v>46</v>
      </c>
      <c r="E151">
        <v>60.41</v>
      </c>
      <c r="F151">
        <v>8</v>
      </c>
      <c r="G151">
        <v>24.164000000000001</v>
      </c>
      <c r="H151">
        <v>507.44400000000002</v>
      </c>
      <c r="I151" s="1">
        <v>43503</v>
      </c>
      <c r="J151" s="1">
        <v>0.51597222222222228</v>
      </c>
      <c r="K151" t="s">
        <v>23</v>
      </c>
      <c r="L151">
        <v>483.28</v>
      </c>
      <c r="M151">
        <v>24.164000000000001</v>
      </c>
      <c r="N151">
        <v>9.6</v>
      </c>
    </row>
    <row r="152" spans="1:14">
      <c r="A152" t="s">
        <v>571</v>
      </c>
      <c r="B152" t="s">
        <v>27</v>
      </c>
      <c r="C152" t="s">
        <v>1037</v>
      </c>
      <c r="D152" t="s">
        <v>32</v>
      </c>
      <c r="E152">
        <v>16.670000000000002</v>
      </c>
      <c r="F152">
        <v>7</v>
      </c>
      <c r="G152">
        <v>5.8345000000000002</v>
      </c>
      <c r="H152">
        <v>122.5245</v>
      </c>
      <c r="I152" s="1">
        <v>43503</v>
      </c>
      <c r="J152" s="1">
        <v>0.48333333333333334</v>
      </c>
      <c r="K152" t="s">
        <v>23</v>
      </c>
      <c r="L152">
        <v>116.69</v>
      </c>
      <c r="M152">
        <v>5.8345000000000002</v>
      </c>
      <c r="N152">
        <v>7.4</v>
      </c>
    </row>
    <row r="153" spans="1:14">
      <c r="A153" t="s">
        <v>189</v>
      </c>
      <c r="B153" t="s">
        <v>27</v>
      </c>
      <c r="C153" t="s">
        <v>1036</v>
      </c>
      <c r="D153" t="s">
        <v>44</v>
      </c>
      <c r="E153">
        <v>16.48</v>
      </c>
      <c r="F153">
        <v>6</v>
      </c>
      <c r="G153">
        <v>4.944</v>
      </c>
      <c r="H153">
        <v>103.824</v>
      </c>
      <c r="I153" s="1">
        <v>43503</v>
      </c>
      <c r="J153" s="1">
        <v>0.76597222222222228</v>
      </c>
      <c r="K153" t="s">
        <v>23</v>
      </c>
      <c r="L153">
        <v>98.88</v>
      </c>
      <c r="M153">
        <v>4.944</v>
      </c>
      <c r="N153">
        <v>9.9</v>
      </c>
    </row>
    <row r="154" spans="1:14">
      <c r="A154" t="s">
        <v>714</v>
      </c>
      <c r="B154" t="s">
        <v>27</v>
      </c>
      <c r="C154" t="s">
        <v>1037</v>
      </c>
      <c r="D154" t="s">
        <v>22</v>
      </c>
      <c r="E154">
        <v>58.95</v>
      </c>
      <c r="F154">
        <v>10</v>
      </c>
      <c r="G154">
        <v>29.475000000000001</v>
      </c>
      <c r="H154">
        <v>618.97500000000002</v>
      </c>
      <c r="I154" s="1">
        <v>43503</v>
      </c>
      <c r="J154" s="1">
        <v>0.6020833333333333</v>
      </c>
      <c r="K154" t="s">
        <v>23</v>
      </c>
      <c r="L154">
        <v>589.5</v>
      </c>
      <c r="M154">
        <v>29.475000000000001</v>
      </c>
      <c r="N154">
        <v>8.1</v>
      </c>
    </row>
    <row r="155" spans="1:14">
      <c r="A155" t="s">
        <v>295</v>
      </c>
      <c r="B155" t="s">
        <v>20</v>
      </c>
      <c r="C155" t="s">
        <v>1037</v>
      </c>
      <c r="D155" t="s">
        <v>28</v>
      </c>
      <c r="E155">
        <v>65.94</v>
      </c>
      <c r="F155">
        <v>4</v>
      </c>
      <c r="G155">
        <v>13.188000000000001</v>
      </c>
      <c r="H155">
        <v>276.94799999999998</v>
      </c>
      <c r="I155" s="1">
        <v>43503</v>
      </c>
      <c r="J155" s="1">
        <v>0.54513888888888884</v>
      </c>
      <c r="K155" t="s">
        <v>33</v>
      </c>
      <c r="L155">
        <v>263.76</v>
      </c>
      <c r="M155">
        <v>13.188000000000001</v>
      </c>
      <c r="N155">
        <v>6.9</v>
      </c>
    </row>
    <row r="156" spans="1:14">
      <c r="A156" t="s">
        <v>858</v>
      </c>
      <c r="B156" t="s">
        <v>20</v>
      </c>
      <c r="C156" t="s">
        <v>1037</v>
      </c>
      <c r="D156" t="s">
        <v>36</v>
      </c>
      <c r="E156">
        <v>10.17</v>
      </c>
      <c r="F156">
        <v>1</v>
      </c>
      <c r="G156">
        <v>0.50849999999999995</v>
      </c>
      <c r="H156">
        <v>10.6785</v>
      </c>
      <c r="I156" s="1">
        <v>43503</v>
      </c>
      <c r="J156" s="1">
        <v>0.59375</v>
      </c>
      <c r="K156" t="s">
        <v>29</v>
      </c>
      <c r="L156">
        <v>10.17</v>
      </c>
      <c r="M156">
        <v>0.50849999999999995</v>
      </c>
      <c r="N156">
        <v>5.9</v>
      </c>
    </row>
    <row r="157" spans="1:14">
      <c r="A157" t="s">
        <v>655</v>
      </c>
      <c r="B157" t="s">
        <v>20</v>
      </c>
      <c r="C157" t="s">
        <v>1036</v>
      </c>
      <c r="D157" t="s">
        <v>46</v>
      </c>
      <c r="E157">
        <v>43.46</v>
      </c>
      <c r="F157">
        <v>6</v>
      </c>
      <c r="G157">
        <v>13.038</v>
      </c>
      <c r="H157">
        <v>273.798</v>
      </c>
      <c r="I157" s="1">
        <v>43503</v>
      </c>
      <c r="J157" s="1">
        <v>0.74652777777777779</v>
      </c>
      <c r="K157" t="s">
        <v>23</v>
      </c>
      <c r="L157">
        <v>260.76</v>
      </c>
      <c r="M157">
        <v>13.038</v>
      </c>
      <c r="N157">
        <v>8.5</v>
      </c>
    </row>
    <row r="158" spans="1:14">
      <c r="A158" t="s">
        <v>848</v>
      </c>
      <c r="B158" t="s">
        <v>20</v>
      </c>
      <c r="C158" t="s">
        <v>1036</v>
      </c>
      <c r="D158" t="s">
        <v>36</v>
      </c>
      <c r="E158">
        <v>64.97</v>
      </c>
      <c r="F158">
        <v>5</v>
      </c>
      <c r="G158">
        <v>16.2425</v>
      </c>
      <c r="H158">
        <v>341.09249999999997</v>
      </c>
      <c r="I158" s="1">
        <v>43504</v>
      </c>
      <c r="J158" s="1">
        <v>0.53611111111111109</v>
      </c>
      <c r="K158" t="s">
        <v>33</v>
      </c>
      <c r="L158">
        <v>324.85000000000002</v>
      </c>
      <c r="M158">
        <v>16.2425</v>
      </c>
      <c r="N158">
        <v>6.5</v>
      </c>
    </row>
    <row r="159" spans="1:14">
      <c r="A159" t="s">
        <v>502</v>
      </c>
      <c r="B159" t="s">
        <v>20</v>
      </c>
      <c r="C159" t="s">
        <v>1036</v>
      </c>
      <c r="D159" t="s">
        <v>22</v>
      </c>
      <c r="E159">
        <v>37.15</v>
      </c>
      <c r="F159">
        <v>7</v>
      </c>
      <c r="G159">
        <v>13.0025</v>
      </c>
      <c r="H159">
        <v>273.05250000000001</v>
      </c>
      <c r="I159" s="1">
        <v>43504</v>
      </c>
      <c r="J159" s="1">
        <v>0.55000000000000004</v>
      </c>
      <c r="K159" t="s">
        <v>33</v>
      </c>
      <c r="L159">
        <v>260.05</v>
      </c>
      <c r="M159">
        <v>13.0025</v>
      </c>
      <c r="N159">
        <v>7.7</v>
      </c>
    </row>
    <row r="160" spans="1:14">
      <c r="A160" t="s">
        <v>458</v>
      </c>
      <c r="B160" t="s">
        <v>20</v>
      </c>
      <c r="C160" t="s">
        <v>1036</v>
      </c>
      <c r="D160" t="s">
        <v>46</v>
      </c>
      <c r="E160">
        <v>97.21</v>
      </c>
      <c r="F160">
        <v>10</v>
      </c>
      <c r="G160">
        <v>48.604999999999997</v>
      </c>
      <c r="H160">
        <v>1020.705</v>
      </c>
      <c r="I160" s="1">
        <v>43504</v>
      </c>
      <c r="J160" s="1">
        <v>0.54166666666666663</v>
      </c>
      <c r="K160" t="s">
        <v>33</v>
      </c>
      <c r="L160">
        <v>972.1</v>
      </c>
      <c r="M160">
        <v>48.604999999999997</v>
      </c>
      <c r="N160">
        <v>8.6999999999999993</v>
      </c>
    </row>
    <row r="161" spans="1:14">
      <c r="A161" t="s">
        <v>352</v>
      </c>
      <c r="B161" t="s">
        <v>20</v>
      </c>
      <c r="C161" t="s">
        <v>1036</v>
      </c>
      <c r="D161" t="s">
        <v>44</v>
      </c>
      <c r="E161">
        <v>21.08</v>
      </c>
      <c r="F161">
        <v>3</v>
      </c>
      <c r="G161">
        <v>3.1619999999999999</v>
      </c>
      <c r="H161">
        <v>66.402000000000001</v>
      </c>
      <c r="I161" s="1">
        <v>43505</v>
      </c>
      <c r="J161" s="1">
        <v>0.43402777777777779</v>
      </c>
      <c r="K161" t="s">
        <v>29</v>
      </c>
      <c r="L161">
        <v>63.24</v>
      </c>
      <c r="M161">
        <v>3.1619999999999999</v>
      </c>
      <c r="N161">
        <v>7.3</v>
      </c>
    </row>
    <row r="162" spans="1:14">
      <c r="A162" t="s">
        <v>133</v>
      </c>
      <c r="B162" t="s">
        <v>27</v>
      </c>
      <c r="C162" t="s">
        <v>1036</v>
      </c>
      <c r="D162" t="s">
        <v>28</v>
      </c>
      <c r="E162">
        <v>12.45</v>
      </c>
      <c r="F162">
        <v>6</v>
      </c>
      <c r="G162">
        <v>3.7349999999999999</v>
      </c>
      <c r="H162">
        <v>78.435000000000002</v>
      </c>
      <c r="I162" s="1">
        <v>43505</v>
      </c>
      <c r="J162" s="1">
        <v>0.5493055555555556</v>
      </c>
      <c r="K162" t="s">
        <v>29</v>
      </c>
      <c r="L162">
        <v>74.7</v>
      </c>
      <c r="M162">
        <v>3.7349999999999999</v>
      </c>
      <c r="N162">
        <v>4.0999999999999996</v>
      </c>
    </row>
    <row r="163" spans="1:14">
      <c r="A163" t="s">
        <v>504</v>
      </c>
      <c r="B163" t="s">
        <v>27</v>
      </c>
      <c r="C163" t="s">
        <v>1037</v>
      </c>
      <c r="D163" t="s">
        <v>44</v>
      </c>
      <c r="E163">
        <v>21.58</v>
      </c>
      <c r="F163">
        <v>1</v>
      </c>
      <c r="G163">
        <v>1.079</v>
      </c>
      <c r="H163">
        <v>22.658999999999999</v>
      </c>
      <c r="I163" s="1">
        <v>43505</v>
      </c>
      <c r="J163" s="1">
        <v>0.41805555555555557</v>
      </c>
      <c r="K163" t="s">
        <v>23</v>
      </c>
      <c r="L163">
        <v>21.58</v>
      </c>
      <c r="M163">
        <v>1.079</v>
      </c>
      <c r="N163">
        <v>7.2</v>
      </c>
    </row>
    <row r="164" spans="1:14">
      <c r="A164" t="s">
        <v>216</v>
      </c>
      <c r="B164" t="s">
        <v>27</v>
      </c>
      <c r="C164" t="s">
        <v>1037</v>
      </c>
      <c r="D164" t="s">
        <v>46</v>
      </c>
      <c r="E164">
        <v>64.260000000000005</v>
      </c>
      <c r="F164">
        <v>7</v>
      </c>
      <c r="G164">
        <v>22.491</v>
      </c>
      <c r="H164">
        <v>472.31099999999998</v>
      </c>
      <c r="I164" s="1">
        <v>43505</v>
      </c>
      <c r="J164" s="1">
        <v>0.41666666666666669</v>
      </c>
      <c r="K164" t="s">
        <v>29</v>
      </c>
      <c r="L164">
        <v>449.82</v>
      </c>
      <c r="M164">
        <v>22.491</v>
      </c>
      <c r="N164">
        <v>5.7</v>
      </c>
    </row>
    <row r="165" spans="1:14">
      <c r="A165" t="s">
        <v>545</v>
      </c>
      <c r="B165" t="s">
        <v>20</v>
      </c>
      <c r="C165" t="s">
        <v>1036</v>
      </c>
      <c r="D165" t="s">
        <v>32</v>
      </c>
      <c r="E165">
        <v>15.95</v>
      </c>
      <c r="F165">
        <v>6</v>
      </c>
      <c r="G165">
        <v>4.7850000000000001</v>
      </c>
      <c r="H165">
        <v>100.485</v>
      </c>
      <c r="I165" s="1">
        <v>43505</v>
      </c>
      <c r="J165" s="1">
        <v>0.71875</v>
      </c>
      <c r="K165" t="s">
        <v>33</v>
      </c>
      <c r="L165">
        <v>95.7</v>
      </c>
      <c r="M165">
        <v>4.7850000000000001</v>
      </c>
      <c r="N165">
        <v>5.0999999999999996</v>
      </c>
    </row>
    <row r="166" spans="1:14">
      <c r="A166" t="s">
        <v>942</v>
      </c>
      <c r="B166" t="s">
        <v>27</v>
      </c>
      <c r="C166" t="s">
        <v>1037</v>
      </c>
      <c r="D166" t="s">
        <v>22</v>
      </c>
      <c r="E166">
        <v>84.61</v>
      </c>
      <c r="F166">
        <v>10</v>
      </c>
      <c r="G166">
        <v>42.305</v>
      </c>
      <c r="H166">
        <v>888.40499999999997</v>
      </c>
      <c r="I166" s="1">
        <v>43505</v>
      </c>
      <c r="J166" s="1">
        <v>0.79027777777777775</v>
      </c>
      <c r="K166" t="s">
        <v>33</v>
      </c>
      <c r="L166">
        <v>846.1</v>
      </c>
      <c r="M166">
        <v>42.305</v>
      </c>
      <c r="N166">
        <v>8.8000000000000007</v>
      </c>
    </row>
    <row r="167" spans="1:14">
      <c r="A167" t="s">
        <v>102</v>
      </c>
      <c r="B167" t="s">
        <v>27</v>
      </c>
      <c r="C167" t="s">
        <v>1036</v>
      </c>
      <c r="D167" t="s">
        <v>22</v>
      </c>
      <c r="E167">
        <v>33.47</v>
      </c>
      <c r="F167">
        <v>2</v>
      </c>
      <c r="G167">
        <v>3.347</v>
      </c>
      <c r="H167">
        <v>70.287000000000006</v>
      </c>
      <c r="I167" s="1">
        <v>43506</v>
      </c>
      <c r="J167" s="1">
        <v>0.65486111111111112</v>
      </c>
      <c r="K167" t="s">
        <v>23</v>
      </c>
      <c r="L167">
        <v>66.94</v>
      </c>
      <c r="M167">
        <v>3.347</v>
      </c>
      <c r="N167">
        <v>6.7</v>
      </c>
    </row>
    <row r="168" spans="1:14">
      <c r="A168" t="s">
        <v>350</v>
      </c>
      <c r="B168" t="s">
        <v>20</v>
      </c>
      <c r="C168" t="s">
        <v>1036</v>
      </c>
      <c r="D168" t="s">
        <v>28</v>
      </c>
      <c r="E168">
        <v>78.13</v>
      </c>
      <c r="F168">
        <v>10</v>
      </c>
      <c r="G168">
        <v>39.064999999999998</v>
      </c>
      <c r="H168">
        <v>820.36500000000001</v>
      </c>
      <c r="I168" s="1">
        <v>43506</v>
      </c>
      <c r="J168" s="1">
        <v>0.86875000000000002</v>
      </c>
      <c r="K168" t="s">
        <v>29</v>
      </c>
      <c r="L168">
        <v>781.3</v>
      </c>
      <c r="M168">
        <v>39.064999999999998</v>
      </c>
      <c r="N168">
        <v>4.4000000000000004</v>
      </c>
    </row>
    <row r="169" spans="1:14">
      <c r="A169" t="s">
        <v>729</v>
      </c>
      <c r="B169" t="s">
        <v>20</v>
      </c>
      <c r="C169" t="s">
        <v>1036</v>
      </c>
      <c r="D169" t="s">
        <v>46</v>
      </c>
      <c r="E169">
        <v>73.38</v>
      </c>
      <c r="F169">
        <v>7</v>
      </c>
      <c r="G169">
        <v>25.683</v>
      </c>
      <c r="H169">
        <v>539.34299999999996</v>
      </c>
      <c r="I169" s="1">
        <v>43506</v>
      </c>
      <c r="J169" s="1">
        <v>0.5805555555555556</v>
      </c>
      <c r="K169" t="s">
        <v>29</v>
      </c>
      <c r="L169">
        <v>513.66</v>
      </c>
      <c r="M169">
        <v>25.683</v>
      </c>
      <c r="N169">
        <v>9.5</v>
      </c>
    </row>
    <row r="170" spans="1:14">
      <c r="A170" t="s">
        <v>107</v>
      </c>
      <c r="B170" t="s">
        <v>27</v>
      </c>
      <c r="C170" t="s">
        <v>1037</v>
      </c>
      <c r="D170" t="s">
        <v>46</v>
      </c>
      <c r="E170">
        <v>62.12</v>
      </c>
      <c r="F170">
        <v>10</v>
      </c>
      <c r="G170">
        <v>31.06</v>
      </c>
      <c r="H170">
        <v>652.26</v>
      </c>
      <c r="I170" s="1">
        <v>43507</v>
      </c>
      <c r="J170" s="1">
        <v>0.67986111111111114</v>
      </c>
      <c r="K170" t="s">
        <v>29</v>
      </c>
      <c r="L170">
        <v>621.20000000000005</v>
      </c>
      <c r="M170">
        <v>31.06</v>
      </c>
      <c r="N170">
        <v>5.9</v>
      </c>
    </row>
    <row r="171" spans="1:14">
      <c r="A171" t="s">
        <v>597</v>
      </c>
      <c r="B171" t="s">
        <v>27</v>
      </c>
      <c r="C171" t="s">
        <v>1037</v>
      </c>
      <c r="D171" t="s">
        <v>44</v>
      </c>
      <c r="E171">
        <v>89.2</v>
      </c>
      <c r="F171">
        <v>10</v>
      </c>
      <c r="G171">
        <v>44.6</v>
      </c>
      <c r="H171">
        <v>936.6</v>
      </c>
      <c r="I171" s="1">
        <v>43507</v>
      </c>
      <c r="J171" s="1">
        <v>0.65416666666666667</v>
      </c>
      <c r="K171" t="s">
        <v>33</v>
      </c>
      <c r="L171">
        <v>892</v>
      </c>
      <c r="M171">
        <v>44.6</v>
      </c>
      <c r="N171">
        <v>4.4000000000000004</v>
      </c>
    </row>
    <row r="172" spans="1:14">
      <c r="A172" t="s">
        <v>835</v>
      </c>
      <c r="B172" t="s">
        <v>20</v>
      </c>
      <c r="C172" t="s">
        <v>1037</v>
      </c>
      <c r="D172" t="s">
        <v>32</v>
      </c>
      <c r="E172">
        <v>86.69</v>
      </c>
      <c r="F172">
        <v>5</v>
      </c>
      <c r="G172">
        <v>21.672499999999999</v>
      </c>
      <c r="H172">
        <v>455.1225</v>
      </c>
      <c r="I172" s="1">
        <v>43507</v>
      </c>
      <c r="J172" s="1">
        <v>0.77638888888888891</v>
      </c>
      <c r="K172" t="s">
        <v>23</v>
      </c>
      <c r="L172">
        <v>433.45</v>
      </c>
      <c r="M172">
        <v>21.672499999999999</v>
      </c>
      <c r="N172">
        <v>9.4</v>
      </c>
    </row>
    <row r="173" spans="1:14">
      <c r="A173" t="s">
        <v>699</v>
      </c>
      <c r="B173" t="s">
        <v>20</v>
      </c>
      <c r="C173" t="s">
        <v>1036</v>
      </c>
      <c r="D173" t="s">
        <v>44</v>
      </c>
      <c r="E173">
        <v>87.1</v>
      </c>
      <c r="F173">
        <v>10</v>
      </c>
      <c r="G173">
        <v>43.55</v>
      </c>
      <c r="H173">
        <v>914.55</v>
      </c>
      <c r="I173" s="1">
        <v>43508</v>
      </c>
      <c r="J173" s="1">
        <v>0.61458333333333337</v>
      </c>
      <c r="K173" t="s">
        <v>33</v>
      </c>
      <c r="L173">
        <v>871</v>
      </c>
      <c r="M173">
        <v>43.55</v>
      </c>
      <c r="N173">
        <v>9.9</v>
      </c>
    </row>
    <row r="174" spans="1:14">
      <c r="A174" t="s">
        <v>912</v>
      </c>
      <c r="B174" t="s">
        <v>20</v>
      </c>
      <c r="C174" t="s">
        <v>1037</v>
      </c>
      <c r="D174" t="s">
        <v>46</v>
      </c>
      <c r="E174">
        <v>52.35</v>
      </c>
      <c r="F174">
        <v>1</v>
      </c>
      <c r="G174">
        <v>2.6175000000000002</v>
      </c>
      <c r="H174">
        <v>54.967500000000001</v>
      </c>
      <c r="I174" s="1">
        <v>43508</v>
      </c>
      <c r="J174" s="1">
        <v>0.74236111111111114</v>
      </c>
      <c r="K174" t="s">
        <v>29</v>
      </c>
      <c r="L174">
        <v>52.35</v>
      </c>
      <c r="M174">
        <v>2.6175000000000002</v>
      </c>
      <c r="N174">
        <v>4</v>
      </c>
    </row>
    <row r="175" spans="1:14">
      <c r="A175" t="s">
        <v>213</v>
      </c>
      <c r="B175" t="s">
        <v>27</v>
      </c>
      <c r="C175" t="s">
        <v>1036</v>
      </c>
      <c r="D175" t="s">
        <v>46</v>
      </c>
      <c r="E175">
        <v>22.51</v>
      </c>
      <c r="F175">
        <v>7</v>
      </c>
      <c r="G175">
        <v>7.8784999999999998</v>
      </c>
      <c r="H175">
        <v>165.4485</v>
      </c>
      <c r="I175" s="1">
        <v>43509</v>
      </c>
      <c r="J175" s="1">
        <v>0.4513888888888889</v>
      </c>
      <c r="K175" t="s">
        <v>33</v>
      </c>
      <c r="L175">
        <v>157.57</v>
      </c>
      <c r="M175">
        <v>7.8784999999999998</v>
      </c>
      <c r="N175">
        <v>4.8</v>
      </c>
    </row>
    <row r="176" spans="1:14">
      <c r="A176" t="s">
        <v>879</v>
      </c>
      <c r="B176" t="s">
        <v>20</v>
      </c>
      <c r="C176" t="s">
        <v>1036</v>
      </c>
      <c r="D176" t="s">
        <v>44</v>
      </c>
      <c r="E176">
        <v>14.87</v>
      </c>
      <c r="F176">
        <v>2</v>
      </c>
      <c r="G176">
        <v>1.4870000000000001</v>
      </c>
      <c r="H176">
        <v>31.227</v>
      </c>
      <c r="I176" s="1">
        <v>43509</v>
      </c>
      <c r="J176" s="1">
        <v>0.76041666666666663</v>
      </c>
      <c r="K176" t="s">
        <v>33</v>
      </c>
      <c r="L176">
        <v>29.74</v>
      </c>
      <c r="M176">
        <v>1.4870000000000001</v>
      </c>
      <c r="N176">
        <v>8.9</v>
      </c>
    </row>
    <row r="177" spans="1:14">
      <c r="A177" t="s">
        <v>618</v>
      </c>
      <c r="B177" t="s">
        <v>20</v>
      </c>
      <c r="C177" t="s">
        <v>1036</v>
      </c>
      <c r="D177" t="s">
        <v>46</v>
      </c>
      <c r="E177">
        <v>92.98</v>
      </c>
      <c r="F177">
        <v>2</v>
      </c>
      <c r="G177">
        <v>9.298</v>
      </c>
      <c r="H177">
        <v>195.25800000000001</v>
      </c>
      <c r="I177" s="1">
        <v>43509</v>
      </c>
      <c r="J177" s="1">
        <v>0.62916666666666665</v>
      </c>
      <c r="K177" t="s">
        <v>33</v>
      </c>
      <c r="L177">
        <v>185.96</v>
      </c>
      <c r="M177">
        <v>9.298</v>
      </c>
      <c r="N177">
        <v>8</v>
      </c>
    </row>
    <row r="178" spans="1:14">
      <c r="A178" t="s">
        <v>482</v>
      </c>
      <c r="B178" t="s">
        <v>20</v>
      </c>
      <c r="C178" t="s">
        <v>1037</v>
      </c>
      <c r="D178" t="s">
        <v>44</v>
      </c>
      <c r="E178">
        <v>27.66</v>
      </c>
      <c r="F178">
        <v>10</v>
      </c>
      <c r="G178">
        <v>13.83</v>
      </c>
      <c r="H178">
        <v>290.43</v>
      </c>
      <c r="I178" s="1">
        <v>43510</v>
      </c>
      <c r="J178" s="1">
        <v>0.47638888888888886</v>
      </c>
      <c r="K178" t="s">
        <v>33</v>
      </c>
      <c r="L178">
        <v>276.60000000000002</v>
      </c>
      <c r="M178">
        <v>13.83</v>
      </c>
      <c r="N178">
        <v>8.9</v>
      </c>
    </row>
    <row r="179" spans="1:14">
      <c r="A179" t="s">
        <v>940</v>
      </c>
      <c r="B179" t="s">
        <v>27</v>
      </c>
      <c r="C179" t="s">
        <v>1036</v>
      </c>
      <c r="D179" t="s">
        <v>22</v>
      </c>
      <c r="E179">
        <v>58.32</v>
      </c>
      <c r="F179">
        <v>2</v>
      </c>
      <c r="G179">
        <v>5.8319999999999999</v>
      </c>
      <c r="H179">
        <v>122.47199999999999</v>
      </c>
      <c r="I179" s="1">
        <v>43510</v>
      </c>
      <c r="J179" s="1">
        <v>0.52916666666666667</v>
      </c>
      <c r="K179" t="s">
        <v>23</v>
      </c>
      <c r="L179">
        <v>116.64</v>
      </c>
      <c r="M179">
        <v>5.8319999999999999</v>
      </c>
      <c r="N179">
        <v>6</v>
      </c>
    </row>
    <row r="180" spans="1:14">
      <c r="A180" t="s">
        <v>351</v>
      </c>
      <c r="B180" t="s">
        <v>20</v>
      </c>
      <c r="C180" t="s">
        <v>1037</v>
      </c>
      <c r="D180" t="s">
        <v>44</v>
      </c>
      <c r="E180">
        <v>99.37</v>
      </c>
      <c r="F180">
        <v>2</v>
      </c>
      <c r="G180">
        <v>9.9369999999999994</v>
      </c>
      <c r="H180">
        <v>208.67699999999999</v>
      </c>
      <c r="I180" s="1">
        <v>43510</v>
      </c>
      <c r="J180" s="1">
        <v>0.72847222222222219</v>
      </c>
      <c r="K180" t="s">
        <v>29</v>
      </c>
      <c r="L180">
        <v>198.74</v>
      </c>
      <c r="M180">
        <v>9.9369999999999994</v>
      </c>
      <c r="N180">
        <v>5.2</v>
      </c>
    </row>
    <row r="181" spans="1:14">
      <c r="A181" t="s">
        <v>426</v>
      </c>
      <c r="B181" t="s">
        <v>20</v>
      </c>
      <c r="C181" t="s">
        <v>1036</v>
      </c>
      <c r="D181" t="s">
        <v>46</v>
      </c>
      <c r="E181">
        <v>80.48</v>
      </c>
      <c r="F181">
        <v>3</v>
      </c>
      <c r="G181">
        <v>12.071999999999999</v>
      </c>
      <c r="H181">
        <v>253.512</v>
      </c>
      <c r="I181" s="1">
        <v>43511</v>
      </c>
      <c r="J181" s="1">
        <v>0.52152777777777781</v>
      </c>
      <c r="K181" t="s">
        <v>29</v>
      </c>
      <c r="L181">
        <v>241.44</v>
      </c>
      <c r="M181">
        <v>12.071999999999999</v>
      </c>
      <c r="N181">
        <v>8.1</v>
      </c>
    </row>
    <row r="182" spans="1:14">
      <c r="A182" t="s">
        <v>827</v>
      </c>
      <c r="B182" t="s">
        <v>20</v>
      </c>
      <c r="C182" t="s">
        <v>1037</v>
      </c>
      <c r="D182" t="s">
        <v>22</v>
      </c>
      <c r="E182">
        <v>68.55</v>
      </c>
      <c r="F182">
        <v>4</v>
      </c>
      <c r="G182">
        <v>13.71</v>
      </c>
      <c r="H182">
        <v>287.91000000000003</v>
      </c>
      <c r="I182" s="1">
        <v>43511</v>
      </c>
      <c r="J182" s="1">
        <v>0.84791666666666665</v>
      </c>
      <c r="K182" t="s">
        <v>33</v>
      </c>
      <c r="L182">
        <v>274.2</v>
      </c>
      <c r="M182">
        <v>13.71</v>
      </c>
      <c r="N182">
        <v>9.1999999999999993</v>
      </c>
    </row>
    <row r="183" spans="1:14">
      <c r="A183" t="s">
        <v>709</v>
      </c>
      <c r="B183" t="s">
        <v>27</v>
      </c>
      <c r="C183" t="s">
        <v>1037</v>
      </c>
      <c r="D183" t="s">
        <v>22</v>
      </c>
      <c r="E183">
        <v>33.64</v>
      </c>
      <c r="F183">
        <v>8</v>
      </c>
      <c r="G183">
        <v>13.456</v>
      </c>
      <c r="H183">
        <v>282.57600000000002</v>
      </c>
      <c r="I183" s="1">
        <v>43511</v>
      </c>
      <c r="J183" s="1">
        <v>0.71527777777777779</v>
      </c>
      <c r="K183" t="s">
        <v>33</v>
      </c>
      <c r="L183">
        <v>269.12</v>
      </c>
      <c r="M183">
        <v>13.456</v>
      </c>
      <c r="N183">
        <v>9.3000000000000007</v>
      </c>
    </row>
    <row r="184" spans="1:14">
      <c r="A184" t="s">
        <v>505</v>
      </c>
      <c r="B184" t="s">
        <v>20</v>
      </c>
      <c r="C184" t="s">
        <v>1036</v>
      </c>
      <c r="D184" t="s">
        <v>28</v>
      </c>
      <c r="E184">
        <v>98.84</v>
      </c>
      <c r="F184">
        <v>1</v>
      </c>
      <c r="G184">
        <v>4.9420000000000002</v>
      </c>
      <c r="H184">
        <v>103.782</v>
      </c>
      <c r="I184" s="1">
        <v>43511</v>
      </c>
      <c r="J184" s="1">
        <v>0.47291666666666665</v>
      </c>
      <c r="K184" t="s">
        <v>29</v>
      </c>
      <c r="L184">
        <v>98.84</v>
      </c>
      <c r="M184">
        <v>4.9420000000000002</v>
      </c>
      <c r="N184">
        <v>8.4</v>
      </c>
    </row>
    <row r="185" spans="1:14">
      <c r="A185" t="s">
        <v>96</v>
      </c>
      <c r="B185" t="s">
        <v>20</v>
      </c>
      <c r="C185" t="s">
        <v>1036</v>
      </c>
      <c r="D185" t="s">
        <v>36</v>
      </c>
      <c r="E185">
        <v>24.74</v>
      </c>
      <c r="F185">
        <v>3</v>
      </c>
      <c r="G185">
        <v>3.7109999999999999</v>
      </c>
      <c r="H185">
        <v>77.930999999999997</v>
      </c>
      <c r="I185" s="1">
        <v>43511</v>
      </c>
      <c r="J185" s="1">
        <v>0.74097222222222225</v>
      </c>
      <c r="K185" t="s">
        <v>33</v>
      </c>
      <c r="L185">
        <v>74.22</v>
      </c>
      <c r="M185">
        <v>3.7109999999999999</v>
      </c>
      <c r="N185">
        <v>10</v>
      </c>
    </row>
    <row r="186" spans="1:14">
      <c r="A186" t="s">
        <v>517</v>
      </c>
      <c r="B186" t="s">
        <v>27</v>
      </c>
      <c r="C186" t="s">
        <v>1036</v>
      </c>
      <c r="D186" t="s">
        <v>28</v>
      </c>
      <c r="E186">
        <v>32.799999999999997</v>
      </c>
      <c r="F186">
        <v>10</v>
      </c>
      <c r="G186">
        <v>16.399999999999999</v>
      </c>
      <c r="H186">
        <v>344.4</v>
      </c>
      <c r="I186" s="1">
        <v>43511</v>
      </c>
      <c r="J186" s="1">
        <v>0.5083333333333333</v>
      </c>
      <c r="K186" t="s">
        <v>29</v>
      </c>
      <c r="L186">
        <v>328</v>
      </c>
      <c r="M186">
        <v>16.399999999999999</v>
      </c>
      <c r="N186">
        <v>6.2</v>
      </c>
    </row>
    <row r="187" spans="1:14">
      <c r="A187" t="s">
        <v>386</v>
      </c>
      <c r="B187" t="s">
        <v>20</v>
      </c>
      <c r="C187" t="s">
        <v>1036</v>
      </c>
      <c r="D187" t="s">
        <v>46</v>
      </c>
      <c r="E187">
        <v>99.3</v>
      </c>
      <c r="F187">
        <v>10</v>
      </c>
      <c r="G187">
        <v>49.65</v>
      </c>
      <c r="H187">
        <v>1042.6500000000001</v>
      </c>
      <c r="I187" s="1">
        <v>43511</v>
      </c>
      <c r="J187" s="1">
        <v>0.62013888888888891</v>
      </c>
      <c r="K187" t="s">
        <v>33</v>
      </c>
      <c r="L187">
        <v>993</v>
      </c>
      <c r="M187">
        <v>49.65</v>
      </c>
      <c r="N187">
        <v>6.6</v>
      </c>
    </row>
    <row r="188" spans="1:14">
      <c r="A188" t="s">
        <v>440</v>
      </c>
      <c r="B188" t="s">
        <v>20</v>
      </c>
      <c r="C188" t="s">
        <v>1036</v>
      </c>
      <c r="D188" t="s">
        <v>46</v>
      </c>
      <c r="E188">
        <v>97.79</v>
      </c>
      <c r="F188">
        <v>7</v>
      </c>
      <c r="G188">
        <v>34.226500000000001</v>
      </c>
      <c r="H188">
        <v>718.75649999999996</v>
      </c>
      <c r="I188" s="1">
        <v>43512</v>
      </c>
      <c r="J188" s="1">
        <v>0.72916666666666663</v>
      </c>
      <c r="K188" t="s">
        <v>23</v>
      </c>
      <c r="L188">
        <v>684.53</v>
      </c>
      <c r="M188">
        <v>34.226500000000001</v>
      </c>
      <c r="N188">
        <v>4.9000000000000004</v>
      </c>
    </row>
    <row r="189" spans="1:14">
      <c r="A189" t="s">
        <v>704</v>
      </c>
      <c r="B189" t="s">
        <v>20</v>
      </c>
      <c r="C189" t="s">
        <v>1036</v>
      </c>
      <c r="D189" t="s">
        <v>22</v>
      </c>
      <c r="E189">
        <v>47.71</v>
      </c>
      <c r="F189">
        <v>6</v>
      </c>
      <c r="G189">
        <v>14.313000000000001</v>
      </c>
      <c r="H189">
        <v>300.57299999999998</v>
      </c>
      <c r="I189" s="1">
        <v>43512</v>
      </c>
      <c r="J189" s="1">
        <v>0.59652777777777777</v>
      </c>
      <c r="K189" t="s">
        <v>23</v>
      </c>
      <c r="L189">
        <v>286.26</v>
      </c>
      <c r="M189">
        <v>14.313000000000001</v>
      </c>
      <c r="N189">
        <v>4.4000000000000004</v>
      </c>
    </row>
    <row r="190" spans="1:14">
      <c r="A190" t="s">
        <v>680</v>
      </c>
      <c r="B190" t="s">
        <v>20</v>
      </c>
      <c r="C190" t="s">
        <v>1037</v>
      </c>
      <c r="D190" t="s">
        <v>28</v>
      </c>
      <c r="E190">
        <v>12.05</v>
      </c>
      <c r="F190">
        <v>5</v>
      </c>
      <c r="G190">
        <v>3.0125000000000002</v>
      </c>
      <c r="H190">
        <v>63.262500000000003</v>
      </c>
      <c r="I190" s="1">
        <v>43512</v>
      </c>
      <c r="J190" s="1">
        <v>0.66180555555555554</v>
      </c>
      <c r="K190" t="s">
        <v>23</v>
      </c>
      <c r="L190">
        <v>60.25</v>
      </c>
      <c r="M190">
        <v>3.0125000000000002</v>
      </c>
      <c r="N190">
        <v>5.5</v>
      </c>
    </row>
    <row r="191" spans="1:14">
      <c r="A191" t="s">
        <v>235</v>
      </c>
      <c r="B191" t="s">
        <v>20</v>
      </c>
      <c r="C191" t="s">
        <v>1036</v>
      </c>
      <c r="D191" t="s">
        <v>44</v>
      </c>
      <c r="E191">
        <v>71.39</v>
      </c>
      <c r="F191">
        <v>5</v>
      </c>
      <c r="G191">
        <v>17.8475</v>
      </c>
      <c r="H191">
        <v>374.79750000000001</v>
      </c>
      <c r="I191" s="1">
        <v>43513</v>
      </c>
      <c r="J191" s="1">
        <v>0.83125000000000004</v>
      </c>
      <c r="K191" t="s">
        <v>33</v>
      </c>
      <c r="L191">
        <v>356.95</v>
      </c>
      <c r="M191">
        <v>17.8475</v>
      </c>
      <c r="N191">
        <v>5.5</v>
      </c>
    </row>
    <row r="192" spans="1:14">
      <c r="A192" t="s">
        <v>808</v>
      </c>
      <c r="B192" t="s">
        <v>20</v>
      </c>
      <c r="C192" t="s">
        <v>1036</v>
      </c>
      <c r="D192" t="s">
        <v>36</v>
      </c>
      <c r="E192">
        <v>67.989999999999995</v>
      </c>
      <c r="F192">
        <v>7</v>
      </c>
      <c r="G192">
        <v>23.796500000000002</v>
      </c>
      <c r="H192">
        <v>499.72649999999999</v>
      </c>
      <c r="I192" s="1">
        <v>43513</v>
      </c>
      <c r="J192" s="1">
        <v>0.70138888888888884</v>
      </c>
      <c r="K192" t="s">
        <v>23</v>
      </c>
      <c r="L192">
        <v>475.93</v>
      </c>
      <c r="M192">
        <v>23.796500000000002</v>
      </c>
      <c r="N192">
        <v>5.7</v>
      </c>
    </row>
    <row r="193" spans="1:14">
      <c r="A193" t="s">
        <v>633</v>
      </c>
      <c r="B193" t="s">
        <v>27</v>
      </c>
      <c r="C193" t="s">
        <v>1036</v>
      </c>
      <c r="D193" t="s">
        <v>36</v>
      </c>
      <c r="E193">
        <v>46.66</v>
      </c>
      <c r="F193">
        <v>9</v>
      </c>
      <c r="G193">
        <v>20.997</v>
      </c>
      <c r="H193">
        <v>440.93700000000001</v>
      </c>
      <c r="I193" s="1">
        <v>43513</v>
      </c>
      <c r="J193" s="1">
        <v>0.7993055555555556</v>
      </c>
      <c r="K193" t="s">
        <v>23</v>
      </c>
      <c r="L193">
        <v>419.94</v>
      </c>
      <c r="M193">
        <v>20.997</v>
      </c>
      <c r="N193">
        <v>5.3</v>
      </c>
    </row>
    <row r="194" spans="1:14">
      <c r="A194" t="s">
        <v>258</v>
      </c>
      <c r="B194" t="s">
        <v>27</v>
      </c>
      <c r="C194" t="s">
        <v>1037</v>
      </c>
      <c r="D194" t="s">
        <v>28</v>
      </c>
      <c r="E194">
        <v>11.81</v>
      </c>
      <c r="F194">
        <v>5</v>
      </c>
      <c r="G194">
        <v>2.9525000000000001</v>
      </c>
      <c r="H194">
        <v>62.002499999999998</v>
      </c>
      <c r="I194" s="1">
        <v>43513</v>
      </c>
      <c r="J194" s="1">
        <v>0.75416666666666665</v>
      </c>
      <c r="K194" t="s">
        <v>29</v>
      </c>
      <c r="L194">
        <v>59.05</v>
      </c>
      <c r="M194">
        <v>2.9525000000000001</v>
      </c>
      <c r="N194">
        <v>9.4</v>
      </c>
    </row>
    <row r="195" spans="1:14">
      <c r="A195" t="s">
        <v>1030</v>
      </c>
      <c r="B195" t="s">
        <v>20</v>
      </c>
      <c r="C195" t="s">
        <v>1036</v>
      </c>
      <c r="D195" t="s">
        <v>28</v>
      </c>
      <c r="E195">
        <v>60.95</v>
      </c>
      <c r="F195">
        <v>1</v>
      </c>
      <c r="G195">
        <v>3.0474999999999999</v>
      </c>
      <c r="H195">
        <v>63.997500000000002</v>
      </c>
      <c r="I195" s="1">
        <v>43514</v>
      </c>
      <c r="J195" s="1">
        <v>0.4861111111111111</v>
      </c>
      <c r="K195" t="s">
        <v>23</v>
      </c>
      <c r="L195">
        <v>60.95</v>
      </c>
      <c r="M195">
        <v>3.0474999999999999</v>
      </c>
      <c r="N195">
        <v>5.9</v>
      </c>
    </row>
    <row r="196" spans="1:14">
      <c r="A196" t="s">
        <v>355</v>
      </c>
      <c r="B196" t="s">
        <v>20</v>
      </c>
      <c r="C196" t="s">
        <v>1037</v>
      </c>
      <c r="D196" t="s">
        <v>22</v>
      </c>
      <c r="E196">
        <v>44.07</v>
      </c>
      <c r="F196">
        <v>4</v>
      </c>
      <c r="G196">
        <v>8.8140000000000001</v>
      </c>
      <c r="H196">
        <v>185.09399999999999</v>
      </c>
      <c r="I196" s="1">
        <v>43514</v>
      </c>
      <c r="J196" s="1">
        <v>0.68611111111111112</v>
      </c>
      <c r="K196" t="s">
        <v>23</v>
      </c>
      <c r="L196">
        <v>176.28</v>
      </c>
      <c r="M196">
        <v>8.8140000000000001</v>
      </c>
      <c r="N196">
        <v>8.4</v>
      </c>
    </row>
    <row r="197" spans="1:14">
      <c r="A197" t="s">
        <v>171</v>
      </c>
      <c r="B197" t="s">
        <v>27</v>
      </c>
      <c r="C197" t="s">
        <v>1037</v>
      </c>
      <c r="D197" t="s">
        <v>46</v>
      </c>
      <c r="E197">
        <v>90.22</v>
      </c>
      <c r="F197">
        <v>3</v>
      </c>
      <c r="G197">
        <v>13.532999999999999</v>
      </c>
      <c r="H197">
        <v>284.19299999999998</v>
      </c>
      <c r="I197" s="1">
        <v>43514</v>
      </c>
      <c r="J197" s="1">
        <v>0.81874999999999998</v>
      </c>
      <c r="K197" t="s">
        <v>29</v>
      </c>
      <c r="L197">
        <v>270.66000000000003</v>
      </c>
      <c r="M197">
        <v>13.532999999999999</v>
      </c>
      <c r="N197">
        <v>6.2</v>
      </c>
    </row>
    <row r="198" spans="1:14">
      <c r="A198" t="s">
        <v>748</v>
      </c>
      <c r="B198" t="s">
        <v>27</v>
      </c>
      <c r="C198" t="s">
        <v>1036</v>
      </c>
      <c r="D198" t="s">
        <v>28</v>
      </c>
      <c r="E198">
        <v>77.63</v>
      </c>
      <c r="F198">
        <v>9</v>
      </c>
      <c r="G198">
        <v>34.933500000000002</v>
      </c>
      <c r="H198">
        <v>733.60350000000005</v>
      </c>
      <c r="I198" s="1">
        <v>43515</v>
      </c>
      <c r="J198" s="1">
        <v>0.63472222222222219</v>
      </c>
      <c r="K198" t="s">
        <v>23</v>
      </c>
      <c r="L198">
        <v>698.67</v>
      </c>
      <c r="M198">
        <v>34.933500000000002</v>
      </c>
      <c r="N198">
        <v>7.2</v>
      </c>
    </row>
    <row r="199" spans="1:14">
      <c r="A199" t="s">
        <v>400</v>
      </c>
      <c r="B199" t="s">
        <v>27</v>
      </c>
      <c r="C199" t="s">
        <v>1036</v>
      </c>
      <c r="D199" t="s">
        <v>44</v>
      </c>
      <c r="E199">
        <v>41.24</v>
      </c>
      <c r="F199">
        <v>4</v>
      </c>
      <c r="G199">
        <v>8.2479999999999993</v>
      </c>
      <c r="H199">
        <v>173.208</v>
      </c>
      <c r="I199" s="1">
        <v>43515</v>
      </c>
      <c r="J199" s="1">
        <v>0.68263888888888891</v>
      </c>
      <c r="K199" t="s">
        <v>29</v>
      </c>
      <c r="L199">
        <v>164.96</v>
      </c>
      <c r="M199">
        <v>8.2479999999999993</v>
      </c>
      <c r="N199">
        <v>7.1</v>
      </c>
    </row>
    <row r="200" spans="1:14">
      <c r="A200" t="s">
        <v>822</v>
      </c>
      <c r="B200" t="s">
        <v>27</v>
      </c>
      <c r="C200" t="s">
        <v>1037</v>
      </c>
      <c r="D200" t="s">
        <v>28</v>
      </c>
      <c r="E200">
        <v>71.89</v>
      </c>
      <c r="F200">
        <v>8</v>
      </c>
      <c r="G200">
        <v>28.756</v>
      </c>
      <c r="H200">
        <v>603.87599999999998</v>
      </c>
      <c r="I200" s="1">
        <v>43515</v>
      </c>
      <c r="J200" s="1">
        <v>0.48125000000000001</v>
      </c>
      <c r="K200" t="s">
        <v>23</v>
      </c>
      <c r="L200">
        <v>575.12</v>
      </c>
      <c r="M200">
        <v>28.756</v>
      </c>
      <c r="N200">
        <v>5.5</v>
      </c>
    </row>
    <row r="201" spans="1:14">
      <c r="A201" t="s">
        <v>816</v>
      </c>
      <c r="B201" t="s">
        <v>27</v>
      </c>
      <c r="C201" t="s">
        <v>1037</v>
      </c>
      <c r="D201" t="s">
        <v>22</v>
      </c>
      <c r="E201">
        <v>21.8</v>
      </c>
      <c r="F201">
        <v>8</v>
      </c>
      <c r="G201">
        <v>8.7200000000000006</v>
      </c>
      <c r="H201">
        <v>183.12</v>
      </c>
      <c r="I201" s="1">
        <v>43515</v>
      </c>
      <c r="J201" s="1">
        <v>0.80833333333333335</v>
      </c>
      <c r="K201" t="s">
        <v>29</v>
      </c>
      <c r="L201">
        <v>174.4</v>
      </c>
      <c r="M201">
        <v>8.7200000000000006</v>
      </c>
      <c r="N201">
        <v>8.3000000000000007</v>
      </c>
    </row>
    <row r="202" spans="1:14">
      <c r="A202" t="s">
        <v>896</v>
      </c>
      <c r="B202" t="s">
        <v>20</v>
      </c>
      <c r="C202" t="s">
        <v>1036</v>
      </c>
      <c r="D202" t="s">
        <v>32</v>
      </c>
      <c r="E202">
        <v>86.27</v>
      </c>
      <c r="F202">
        <v>1</v>
      </c>
      <c r="G202">
        <v>4.3135000000000003</v>
      </c>
      <c r="H202">
        <v>90.583500000000001</v>
      </c>
      <c r="I202" s="1">
        <v>43516</v>
      </c>
      <c r="J202" s="1">
        <v>0.55833333333333335</v>
      </c>
      <c r="K202" t="s">
        <v>23</v>
      </c>
      <c r="L202">
        <v>86.27</v>
      </c>
      <c r="M202">
        <v>4.3135000000000003</v>
      </c>
      <c r="N202">
        <v>7</v>
      </c>
    </row>
    <row r="203" spans="1:14">
      <c r="A203" t="s">
        <v>259</v>
      </c>
      <c r="B203" t="s">
        <v>20</v>
      </c>
      <c r="C203" t="s">
        <v>1036</v>
      </c>
      <c r="D203" t="s">
        <v>46</v>
      </c>
      <c r="E203">
        <v>12.54</v>
      </c>
      <c r="F203">
        <v>1</v>
      </c>
      <c r="G203">
        <v>0.627</v>
      </c>
      <c r="H203">
        <v>13.167</v>
      </c>
      <c r="I203" s="1">
        <v>43517</v>
      </c>
      <c r="J203" s="1">
        <v>0.52638888888888891</v>
      </c>
      <c r="K203" t="s">
        <v>29</v>
      </c>
      <c r="L203">
        <v>12.54</v>
      </c>
      <c r="M203">
        <v>0.627</v>
      </c>
      <c r="N203">
        <v>8.1999999999999993</v>
      </c>
    </row>
    <row r="204" spans="1:14">
      <c r="A204" t="s">
        <v>926</v>
      </c>
      <c r="B204" t="s">
        <v>27</v>
      </c>
      <c r="C204" t="s">
        <v>1036</v>
      </c>
      <c r="D204" t="s">
        <v>22</v>
      </c>
      <c r="E204">
        <v>83.66</v>
      </c>
      <c r="F204">
        <v>5</v>
      </c>
      <c r="G204">
        <v>20.914999999999999</v>
      </c>
      <c r="H204">
        <v>439.21499999999997</v>
      </c>
      <c r="I204" s="1">
        <v>43517</v>
      </c>
      <c r="J204" s="1">
        <v>0.43472222222222223</v>
      </c>
      <c r="K204" t="s">
        <v>29</v>
      </c>
      <c r="L204">
        <v>418.3</v>
      </c>
      <c r="M204">
        <v>20.914999999999999</v>
      </c>
      <c r="N204">
        <v>7.2</v>
      </c>
    </row>
    <row r="205" spans="1:14">
      <c r="A205" t="s">
        <v>700</v>
      </c>
      <c r="B205" t="s">
        <v>27</v>
      </c>
      <c r="C205" t="s">
        <v>1036</v>
      </c>
      <c r="D205" t="s">
        <v>36</v>
      </c>
      <c r="E205">
        <v>98.8</v>
      </c>
      <c r="F205">
        <v>2</v>
      </c>
      <c r="G205">
        <v>9.8800000000000008</v>
      </c>
      <c r="H205">
        <v>207.48</v>
      </c>
      <c r="I205" s="1">
        <v>43517</v>
      </c>
      <c r="J205" s="1">
        <v>0.48541666666666666</v>
      </c>
      <c r="K205" t="s">
        <v>29</v>
      </c>
      <c r="L205">
        <v>197.6</v>
      </c>
      <c r="M205">
        <v>9.8800000000000008</v>
      </c>
      <c r="N205">
        <v>7.7</v>
      </c>
    </row>
    <row r="206" spans="1:14">
      <c r="A206" t="s">
        <v>413</v>
      </c>
      <c r="B206" t="s">
        <v>27</v>
      </c>
      <c r="C206" t="s">
        <v>1037</v>
      </c>
      <c r="D206" t="s">
        <v>36</v>
      </c>
      <c r="E206">
        <v>95.49</v>
      </c>
      <c r="F206">
        <v>7</v>
      </c>
      <c r="G206">
        <v>33.421500000000002</v>
      </c>
      <c r="H206">
        <v>701.85149999999999</v>
      </c>
      <c r="I206" s="1">
        <v>43518</v>
      </c>
      <c r="J206" s="1">
        <v>0.76180555555555551</v>
      </c>
      <c r="K206" t="s">
        <v>23</v>
      </c>
      <c r="L206">
        <v>668.43</v>
      </c>
      <c r="M206">
        <v>33.421500000000002</v>
      </c>
      <c r="N206">
        <v>8.6999999999999993</v>
      </c>
    </row>
    <row r="207" spans="1:14">
      <c r="A207" t="s">
        <v>179</v>
      </c>
      <c r="B207" t="s">
        <v>20</v>
      </c>
      <c r="C207" t="s">
        <v>1036</v>
      </c>
      <c r="D207" t="s">
        <v>44</v>
      </c>
      <c r="E207">
        <v>30.41</v>
      </c>
      <c r="F207">
        <v>1</v>
      </c>
      <c r="G207">
        <v>1.5205</v>
      </c>
      <c r="H207">
        <v>31.930499999999999</v>
      </c>
      <c r="I207" s="1">
        <v>43518</v>
      </c>
      <c r="J207" s="1">
        <v>0.44166666666666665</v>
      </c>
      <c r="K207" t="s">
        <v>33</v>
      </c>
      <c r="L207">
        <v>30.41</v>
      </c>
      <c r="M207">
        <v>1.5205</v>
      </c>
      <c r="N207">
        <v>8.4</v>
      </c>
    </row>
    <row r="208" spans="1:14">
      <c r="A208" t="s">
        <v>958</v>
      </c>
      <c r="B208" t="s">
        <v>20</v>
      </c>
      <c r="C208" t="s">
        <v>1036</v>
      </c>
      <c r="D208" t="s">
        <v>32</v>
      </c>
      <c r="E208">
        <v>12.73</v>
      </c>
      <c r="F208">
        <v>2</v>
      </c>
      <c r="G208">
        <v>1.2729999999999999</v>
      </c>
      <c r="H208">
        <v>26.733000000000001</v>
      </c>
      <c r="I208" s="1">
        <v>43518</v>
      </c>
      <c r="J208" s="1">
        <v>0.50694444444444442</v>
      </c>
      <c r="K208" t="s">
        <v>33</v>
      </c>
      <c r="L208">
        <v>25.46</v>
      </c>
      <c r="M208">
        <v>1.2729999999999999</v>
      </c>
      <c r="N208">
        <v>5.2</v>
      </c>
    </row>
    <row r="209" spans="1:14">
      <c r="A209" t="s">
        <v>119</v>
      </c>
      <c r="B209" t="s">
        <v>20</v>
      </c>
      <c r="C209" t="s">
        <v>1036</v>
      </c>
      <c r="D209" t="s">
        <v>44</v>
      </c>
      <c r="E209">
        <v>80.36</v>
      </c>
      <c r="F209">
        <v>4</v>
      </c>
      <c r="G209">
        <v>16.071999999999999</v>
      </c>
      <c r="H209">
        <v>337.512</v>
      </c>
      <c r="I209" s="1">
        <v>43519</v>
      </c>
      <c r="J209" s="1">
        <v>0.78125</v>
      </c>
      <c r="K209" t="s">
        <v>33</v>
      </c>
      <c r="L209">
        <v>321.44</v>
      </c>
      <c r="M209">
        <v>16.071999999999999</v>
      </c>
      <c r="N209">
        <v>8.3000000000000007</v>
      </c>
    </row>
    <row r="210" spans="1:14">
      <c r="A210" t="s">
        <v>550</v>
      </c>
      <c r="B210" t="s">
        <v>20</v>
      </c>
      <c r="C210" t="s">
        <v>1037</v>
      </c>
      <c r="D210" t="s">
        <v>36</v>
      </c>
      <c r="E210">
        <v>58.39</v>
      </c>
      <c r="F210">
        <v>7</v>
      </c>
      <c r="G210">
        <v>20.436499999999999</v>
      </c>
      <c r="H210">
        <v>429.16649999999998</v>
      </c>
      <c r="I210" s="1">
        <v>43519</v>
      </c>
      <c r="J210" s="1">
        <v>0.8256944444444444</v>
      </c>
      <c r="K210" t="s">
        <v>33</v>
      </c>
      <c r="L210">
        <v>408.73</v>
      </c>
      <c r="M210">
        <v>20.436499999999999</v>
      </c>
      <c r="N210">
        <v>8.1999999999999993</v>
      </c>
    </row>
    <row r="211" spans="1:14">
      <c r="A211" t="s">
        <v>495</v>
      </c>
      <c r="B211" t="s">
        <v>27</v>
      </c>
      <c r="C211" t="s">
        <v>1037</v>
      </c>
      <c r="D211" t="s">
        <v>44</v>
      </c>
      <c r="E211">
        <v>35.89</v>
      </c>
      <c r="F211">
        <v>1</v>
      </c>
      <c r="G211">
        <v>1.7945</v>
      </c>
      <c r="H211">
        <v>37.6845</v>
      </c>
      <c r="I211" s="1">
        <v>43519</v>
      </c>
      <c r="J211" s="1">
        <v>0.70277777777777772</v>
      </c>
      <c r="K211" t="s">
        <v>33</v>
      </c>
      <c r="L211">
        <v>35.89</v>
      </c>
      <c r="M211">
        <v>1.7945</v>
      </c>
      <c r="N211">
        <v>7.9</v>
      </c>
    </row>
    <row r="212" spans="1:14">
      <c r="A212" t="s">
        <v>39</v>
      </c>
      <c r="B212" t="s">
        <v>27</v>
      </c>
      <c r="C212" t="s">
        <v>1036</v>
      </c>
      <c r="D212" t="s">
        <v>32</v>
      </c>
      <c r="E212">
        <v>73.56</v>
      </c>
      <c r="F212">
        <v>10</v>
      </c>
      <c r="G212">
        <v>36.78</v>
      </c>
      <c r="H212">
        <v>772.38</v>
      </c>
      <c r="I212" s="1">
        <v>43520</v>
      </c>
      <c r="J212" s="1">
        <v>0.48472222222222222</v>
      </c>
      <c r="K212" t="s">
        <v>23</v>
      </c>
      <c r="L212">
        <v>735.6</v>
      </c>
      <c r="M212">
        <v>36.78</v>
      </c>
      <c r="N212">
        <v>8</v>
      </c>
    </row>
    <row r="213" spans="1:14">
      <c r="A213" t="s">
        <v>685</v>
      </c>
      <c r="B213" t="s">
        <v>27</v>
      </c>
      <c r="C213" t="s">
        <v>1037</v>
      </c>
      <c r="D213" t="s">
        <v>28</v>
      </c>
      <c r="E213">
        <v>24.74</v>
      </c>
      <c r="F213">
        <v>10</v>
      </c>
      <c r="G213">
        <v>12.37</v>
      </c>
      <c r="H213">
        <v>259.77</v>
      </c>
      <c r="I213" s="1">
        <v>43520</v>
      </c>
      <c r="J213" s="1">
        <v>0.69722222222222219</v>
      </c>
      <c r="K213" t="s">
        <v>29</v>
      </c>
      <c r="L213">
        <v>247.4</v>
      </c>
      <c r="M213">
        <v>12.37</v>
      </c>
      <c r="N213">
        <v>7.1</v>
      </c>
    </row>
    <row r="214" spans="1:14">
      <c r="A214" t="s">
        <v>820</v>
      </c>
      <c r="B214" t="s">
        <v>20</v>
      </c>
      <c r="C214" t="s">
        <v>1036</v>
      </c>
      <c r="D214" t="s">
        <v>22</v>
      </c>
      <c r="E214">
        <v>10.16</v>
      </c>
      <c r="F214">
        <v>5</v>
      </c>
      <c r="G214">
        <v>2.54</v>
      </c>
      <c r="H214">
        <v>53.34</v>
      </c>
      <c r="I214" s="1">
        <v>43520</v>
      </c>
      <c r="J214" s="1">
        <v>0.54722222222222228</v>
      </c>
      <c r="K214" t="s">
        <v>23</v>
      </c>
      <c r="L214">
        <v>50.8</v>
      </c>
      <c r="M214">
        <v>2.54</v>
      </c>
      <c r="N214">
        <v>4.0999999999999996</v>
      </c>
    </row>
    <row r="215" spans="1:14">
      <c r="A215" t="s">
        <v>97</v>
      </c>
      <c r="B215" t="s">
        <v>27</v>
      </c>
      <c r="C215" t="s">
        <v>1037</v>
      </c>
      <c r="D215" t="s">
        <v>32</v>
      </c>
      <c r="E215">
        <v>55.73</v>
      </c>
      <c r="F215">
        <v>6</v>
      </c>
      <c r="G215">
        <v>16.719000000000001</v>
      </c>
      <c r="H215">
        <v>351.09899999999999</v>
      </c>
      <c r="I215" s="1">
        <v>43520</v>
      </c>
      <c r="J215" s="1">
        <v>0.4548611111111111</v>
      </c>
      <c r="K215" t="s">
        <v>23</v>
      </c>
      <c r="L215">
        <v>334.38</v>
      </c>
      <c r="M215">
        <v>16.719000000000001</v>
      </c>
      <c r="N215">
        <v>7</v>
      </c>
    </row>
    <row r="216" spans="1:14">
      <c r="A216" t="s">
        <v>56</v>
      </c>
      <c r="B216" t="s">
        <v>20</v>
      </c>
      <c r="C216" t="s">
        <v>1037</v>
      </c>
      <c r="D216" t="s">
        <v>28</v>
      </c>
      <c r="E216">
        <v>86.04</v>
      </c>
      <c r="F216">
        <v>5</v>
      </c>
      <c r="G216">
        <v>21.51</v>
      </c>
      <c r="H216">
        <v>451.71</v>
      </c>
      <c r="I216" s="1">
        <v>43521</v>
      </c>
      <c r="J216" s="1">
        <v>0.47499999999999998</v>
      </c>
      <c r="K216" t="s">
        <v>23</v>
      </c>
      <c r="L216">
        <v>430.2</v>
      </c>
      <c r="M216">
        <v>21.51</v>
      </c>
      <c r="N216">
        <v>4.8</v>
      </c>
    </row>
    <row r="217" spans="1:14">
      <c r="A217" t="s">
        <v>338</v>
      </c>
      <c r="B217" t="s">
        <v>27</v>
      </c>
      <c r="C217" t="s">
        <v>1037</v>
      </c>
      <c r="D217" t="s">
        <v>44</v>
      </c>
      <c r="E217">
        <v>48.61</v>
      </c>
      <c r="F217">
        <v>1</v>
      </c>
      <c r="G217">
        <v>2.4304999999999999</v>
      </c>
      <c r="H217">
        <v>51.040500000000002</v>
      </c>
      <c r="I217" s="1">
        <v>43521</v>
      </c>
      <c r="J217" s="1">
        <v>0.64652777777777781</v>
      </c>
      <c r="K217" t="s">
        <v>29</v>
      </c>
      <c r="L217">
        <v>48.61</v>
      </c>
      <c r="M217">
        <v>2.4304999999999999</v>
      </c>
      <c r="N217">
        <v>4.4000000000000004</v>
      </c>
    </row>
    <row r="218" spans="1:14">
      <c r="A218" t="s">
        <v>356</v>
      </c>
      <c r="B218" t="s">
        <v>27</v>
      </c>
      <c r="C218" t="s">
        <v>1036</v>
      </c>
      <c r="D218" t="s">
        <v>44</v>
      </c>
      <c r="E218">
        <v>22.93</v>
      </c>
      <c r="F218">
        <v>9</v>
      </c>
      <c r="G218">
        <v>10.3185</v>
      </c>
      <c r="H218">
        <v>216.6885</v>
      </c>
      <c r="I218" s="1">
        <v>43522</v>
      </c>
      <c r="J218" s="1">
        <v>0.85138888888888886</v>
      </c>
      <c r="K218" t="s">
        <v>29</v>
      </c>
      <c r="L218">
        <v>206.37</v>
      </c>
      <c r="M218">
        <v>10.3185</v>
      </c>
      <c r="N218">
        <v>5.5</v>
      </c>
    </row>
    <row r="219" spans="1:14">
      <c r="A219" t="s">
        <v>397</v>
      </c>
      <c r="B219" t="s">
        <v>27</v>
      </c>
      <c r="C219" t="s">
        <v>1036</v>
      </c>
      <c r="D219" t="s">
        <v>44</v>
      </c>
      <c r="E219">
        <v>94.47</v>
      </c>
      <c r="F219">
        <v>8</v>
      </c>
      <c r="G219">
        <v>37.787999999999997</v>
      </c>
      <c r="H219">
        <v>793.548</v>
      </c>
      <c r="I219" s="1">
        <v>43523</v>
      </c>
      <c r="J219" s="1">
        <v>0.6333333333333333</v>
      </c>
      <c r="K219" t="s">
        <v>29</v>
      </c>
      <c r="L219">
        <v>755.76</v>
      </c>
      <c r="M219">
        <v>37.787999999999997</v>
      </c>
      <c r="N219">
        <v>9.1</v>
      </c>
    </row>
    <row r="220" spans="1:14">
      <c r="A220" t="s">
        <v>807</v>
      </c>
      <c r="B220" t="s">
        <v>20</v>
      </c>
      <c r="C220" t="s">
        <v>1036</v>
      </c>
      <c r="D220" t="s">
        <v>22</v>
      </c>
      <c r="E220">
        <v>85.87</v>
      </c>
      <c r="F220">
        <v>7</v>
      </c>
      <c r="G220">
        <v>30.054500000000001</v>
      </c>
      <c r="H220">
        <v>631.14449999999999</v>
      </c>
      <c r="I220" s="1">
        <v>43523</v>
      </c>
      <c r="J220" s="1">
        <v>0.79236111111111107</v>
      </c>
      <c r="K220" t="s">
        <v>33</v>
      </c>
      <c r="L220">
        <v>601.09</v>
      </c>
      <c r="M220">
        <v>30.054500000000001</v>
      </c>
      <c r="N220">
        <v>8</v>
      </c>
    </row>
    <row r="221" spans="1:14">
      <c r="A221" t="s">
        <v>692</v>
      </c>
      <c r="B221" t="s">
        <v>27</v>
      </c>
      <c r="C221" t="s">
        <v>1036</v>
      </c>
      <c r="D221" t="s">
        <v>28</v>
      </c>
      <c r="E221">
        <v>99.69</v>
      </c>
      <c r="F221">
        <v>1</v>
      </c>
      <c r="G221">
        <v>4.9844999999999997</v>
      </c>
      <c r="H221">
        <v>104.67449999999999</v>
      </c>
      <c r="I221" s="1">
        <v>43523</v>
      </c>
      <c r="J221" s="1">
        <v>0.43263888888888891</v>
      </c>
      <c r="K221" t="s">
        <v>33</v>
      </c>
      <c r="L221">
        <v>99.69</v>
      </c>
      <c r="M221">
        <v>4.9844999999999997</v>
      </c>
      <c r="N221">
        <v>8</v>
      </c>
    </row>
    <row r="222" spans="1:14">
      <c r="A222" t="s">
        <v>91</v>
      </c>
      <c r="B222" t="s">
        <v>27</v>
      </c>
      <c r="C222" t="s">
        <v>1036</v>
      </c>
      <c r="D222" t="s">
        <v>28</v>
      </c>
      <c r="E222">
        <v>85.98</v>
      </c>
      <c r="F222">
        <v>8</v>
      </c>
      <c r="G222">
        <v>34.392000000000003</v>
      </c>
      <c r="H222">
        <v>722.23199999999997</v>
      </c>
      <c r="I222" s="1">
        <v>43524</v>
      </c>
      <c r="J222" s="1">
        <v>0.79236111111111107</v>
      </c>
      <c r="K222" t="s">
        <v>29</v>
      </c>
      <c r="L222">
        <v>687.84</v>
      </c>
      <c r="M222">
        <v>34.392000000000003</v>
      </c>
      <c r="N222">
        <v>8.1999999999999993</v>
      </c>
    </row>
    <row r="223" spans="1:14">
      <c r="A223" t="s">
        <v>278</v>
      </c>
      <c r="B223" t="s">
        <v>20</v>
      </c>
      <c r="C223" t="s">
        <v>1037</v>
      </c>
      <c r="D223" t="s">
        <v>46</v>
      </c>
      <c r="E223">
        <v>93.2</v>
      </c>
      <c r="F223">
        <v>2</v>
      </c>
      <c r="G223">
        <v>9.32</v>
      </c>
      <c r="H223">
        <v>195.72</v>
      </c>
      <c r="I223" s="1">
        <v>43524</v>
      </c>
      <c r="J223" s="1">
        <v>0.77569444444444446</v>
      </c>
      <c r="K223" t="s">
        <v>33</v>
      </c>
      <c r="L223">
        <v>186.4</v>
      </c>
      <c r="M223">
        <v>9.32</v>
      </c>
      <c r="N223">
        <v>6</v>
      </c>
    </row>
    <row r="224" spans="1:14">
      <c r="A224" t="s">
        <v>137</v>
      </c>
      <c r="B224" t="s">
        <v>27</v>
      </c>
      <c r="C224" t="s">
        <v>1037</v>
      </c>
      <c r="D224" t="s">
        <v>46</v>
      </c>
      <c r="E224">
        <v>78.55</v>
      </c>
      <c r="F224">
        <v>9</v>
      </c>
      <c r="G224">
        <v>35.347499999999997</v>
      </c>
      <c r="H224">
        <v>742.29750000000001</v>
      </c>
      <c r="I224" s="1">
        <v>43525</v>
      </c>
      <c r="J224" s="1">
        <v>0.55694444444444446</v>
      </c>
      <c r="K224" t="s">
        <v>29</v>
      </c>
      <c r="L224">
        <v>706.95</v>
      </c>
      <c r="M224">
        <v>35.347499999999997</v>
      </c>
      <c r="N224">
        <v>7.2</v>
      </c>
    </row>
    <row r="225" spans="1:14">
      <c r="A225" t="s">
        <v>419</v>
      </c>
      <c r="B225" t="s">
        <v>20</v>
      </c>
      <c r="C225" t="s">
        <v>1036</v>
      </c>
      <c r="D225" t="s">
        <v>44</v>
      </c>
      <c r="E225">
        <v>74.89</v>
      </c>
      <c r="F225">
        <v>4</v>
      </c>
      <c r="G225">
        <v>14.978</v>
      </c>
      <c r="H225">
        <v>314.53800000000001</v>
      </c>
      <c r="I225" s="1">
        <v>43525</v>
      </c>
      <c r="J225" s="1">
        <v>0.64722222222222225</v>
      </c>
      <c r="K225" t="s">
        <v>23</v>
      </c>
      <c r="L225">
        <v>299.56</v>
      </c>
      <c r="M225">
        <v>14.978</v>
      </c>
      <c r="N225">
        <v>4.2</v>
      </c>
    </row>
    <row r="226" spans="1:14">
      <c r="A226" t="s">
        <v>288</v>
      </c>
      <c r="B226" t="s">
        <v>27</v>
      </c>
      <c r="C226" t="s">
        <v>1036</v>
      </c>
      <c r="D226" t="s">
        <v>36</v>
      </c>
      <c r="E226">
        <v>14.39</v>
      </c>
      <c r="F226">
        <v>2</v>
      </c>
      <c r="G226">
        <v>1.4390000000000001</v>
      </c>
      <c r="H226">
        <v>30.219000000000001</v>
      </c>
      <c r="I226" s="1">
        <v>43526</v>
      </c>
      <c r="J226" s="1">
        <v>0.82222222222222219</v>
      </c>
      <c r="K226" t="s">
        <v>33</v>
      </c>
      <c r="L226">
        <v>28.78</v>
      </c>
      <c r="M226">
        <v>1.4390000000000001</v>
      </c>
      <c r="N226">
        <v>7.2</v>
      </c>
    </row>
    <row r="227" spans="1:14">
      <c r="A227" t="s">
        <v>934</v>
      </c>
      <c r="B227" t="s">
        <v>20</v>
      </c>
      <c r="C227" t="s">
        <v>1037</v>
      </c>
      <c r="D227" t="s">
        <v>22</v>
      </c>
      <c r="E227">
        <v>85.6</v>
      </c>
      <c r="F227">
        <v>7</v>
      </c>
      <c r="G227">
        <v>29.96</v>
      </c>
      <c r="H227">
        <v>629.16</v>
      </c>
      <c r="I227" s="1">
        <v>43526</v>
      </c>
      <c r="J227" s="1">
        <v>0.57638888888888884</v>
      </c>
      <c r="K227" t="s">
        <v>29</v>
      </c>
      <c r="L227">
        <v>599.20000000000005</v>
      </c>
      <c r="M227">
        <v>29.96</v>
      </c>
      <c r="N227">
        <v>5.3</v>
      </c>
    </row>
    <row r="228" spans="1:14">
      <c r="A228" t="s">
        <v>151</v>
      </c>
      <c r="B228" t="s">
        <v>27</v>
      </c>
      <c r="C228" t="s">
        <v>1036</v>
      </c>
      <c r="D228" t="s">
        <v>46</v>
      </c>
      <c r="E228">
        <v>27.02</v>
      </c>
      <c r="F228">
        <v>3</v>
      </c>
      <c r="G228">
        <v>4.0529999999999999</v>
      </c>
      <c r="H228">
        <v>85.113</v>
      </c>
      <c r="I228" s="1">
        <v>43526</v>
      </c>
      <c r="J228" s="1">
        <v>0.54236111111111107</v>
      </c>
      <c r="K228" t="s">
        <v>33</v>
      </c>
      <c r="L228">
        <v>81.06</v>
      </c>
      <c r="M228">
        <v>4.0529999999999999</v>
      </c>
      <c r="N228">
        <v>7.1</v>
      </c>
    </row>
    <row r="229" spans="1:14">
      <c r="A229" t="s">
        <v>605</v>
      </c>
      <c r="B229" t="s">
        <v>27</v>
      </c>
      <c r="C229" t="s">
        <v>1036</v>
      </c>
      <c r="D229" t="s">
        <v>36</v>
      </c>
      <c r="E229">
        <v>73.98</v>
      </c>
      <c r="F229">
        <v>7</v>
      </c>
      <c r="G229">
        <v>25.893000000000001</v>
      </c>
      <c r="H229">
        <v>543.75300000000004</v>
      </c>
      <c r="I229" s="1">
        <v>43526</v>
      </c>
      <c r="J229" s="1">
        <v>0.6958333333333333</v>
      </c>
      <c r="K229" t="s">
        <v>23</v>
      </c>
      <c r="L229">
        <v>517.86</v>
      </c>
      <c r="M229">
        <v>25.893000000000001</v>
      </c>
      <c r="N229">
        <v>4.0999999999999996</v>
      </c>
    </row>
    <row r="230" spans="1:14">
      <c r="A230" t="s">
        <v>928</v>
      </c>
      <c r="B230" t="s">
        <v>20</v>
      </c>
      <c r="C230" t="s">
        <v>1036</v>
      </c>
      <c r="D230" t="s">
        <v>46</v>
      </c>
      <c r="E230">
        <v>92.49</v>
      </c>
      <c r="F230">
        <v>5</v>
      </c>
      <c r="G230">
        <v>23.122499999999999</v>
      </c>
      <c r="H230">
        <v>485.57249999999999</v>
      </c>
      <c r="I230" s="1">
        <v>43526</v>
      </c>
      <c r="J230" s="1">
        <v>0.69097222222222221</v>
      </c>
      <c r="K230" t="s">
        <v>33</v>
      </c>
      <c r="L230">
        <v>462.45</v>
      </c>
      <c r="M230">
        <v>23.122499999999999</v>
      </c>
      <c r="N230">
        <v>8.6</v>
      </c>
    </row>
    <row r="231" spans="1:14">
      <c r="A231" t="s">
        <v>501</v>
      </c>
      <c r="B231" t="s">
        <v>20</v>
      </c>
      <c r="C231" t="s">
        <v>1036</v>
      </c>
      <c r="D231" t="s">
        <v>36</v>
      </c>
      <c r="E231">
        <v>54.55</v>
      </c>
      <c r="F231">
        <v>10</v>
      </c>
      <c r="G231">
        <v>27.274999999999999</v>
      </c>
      <c r="H231">
        <v>572.77499999999998</v>
      </c>
      <c r="I231" s="1">
        <v>43526</v>
      </c>
      <c r="J231" s="1">
        <v>0.47361111111111109</v>
      </c>
      <c r="K231" t="s">
        <v>33</v>
      </c>
      <c r="L231">
        <v>545.5</v>
      </c>
      <c r="M231">
        <v>27.274999999999999</v>
      </c>
      <c r="N231">
        <v>7.1</v>
      </c>
    </row>
    <row r="232" spans="1:14">
      <c r="A232" t="s">
        <v>837</v>
      </c>
      <c r="B232" t="s">
        <v>20</v>
      </c>
      <c r="C232" t="s">
        <v>1036</v>
      </c>
      <c r="D232" t="s">
        <v>28</v>
      </c>
      <c r="E232">
        <v>30.2</v>
      </c>
      <c r="F232">
        <v>8</v>
      </c>
      <c r="G232">
        <v>12.08</v>
      </c>
      <c r="H232">
        <v>253.68</v>
      </c>
      <c r="I232" s="1">
        <v>43527</v>
      </c>
      <c r="J232" s="1">
        <v>0.8125</v>
      </c>
      <c r="K232" t="s">
        <v>23</v>
      </c>
      <c r="L232">
        <v>241.6</v>
      </c>
      <c r="M232">
        <v>12.08</v>
      </c>
      <c r="N232">
        <v>5.0999999999999996</v>
      </c>
    </row>
    <row r="233" spans="1:14">
      <c r="A233" t="s">
        <v>208</v>
      </c>
      <c r="B233" t="s">
        <v>27</v>
      </c>
      <c r="C233" t="s">
        <v>1037</v>
      </c>
      <c r="D233" t="s">
        <v>28</v>
      </c>
      <c r="E233">
        <v>20.85</v>
      </c>
      <c r="F233">
        <v>8</v>
      </c>
      <c r="G233">
        <v>8.34</v>
      </c>
      <c r="H233">
        <v>175.14</v>
      </c>
      <c r="I233" s="1">
        <v>43527</v>
      </c>
      <c r="J233" s="1">
        <v>0.80347222222222225</v>
      </c>
      <c r="K233" t="s">
        <v>29</v>
      </c>
      <c r="L233">
        <v>166.8</v>
      </c>
      <c r="M233">
        <v>8.34</v>
      </c>
      <c r="N233">
        <v>6.3</v>
      </c>
    </row>
    <row r="234" spans="1:14">
      <c r="A234" t="s">
        <v>626</v>
      </c>
      <c r="B234" t="s">
        <v>20</v>
      </c>
      <c r="C234" t="s">
        <v>1037</v>
      </c>
      <c r="D234" t="s">
        <v>22</v>
      </c>
      <c r="E234">
        <v>46.53</v>
      </c>
      <c r="F234">
        <v>6</v>
      </c>
      <c r="G234">
        <v>13.959</v>
      </c>
      <c r="H234">
        <v>293.13900000000001</v>
      </c>
      <c r="I234" s="1">
        <v>43527</v>
      </c>
      <c r="J234" s="1">
        <v>0.45416666666666666</v>
      </c>
      <c r="K234" t="s">
        <v>33</v>
      </c>
      <c r="L234">
        <v>279.18</v>
      </c>
      <c r="M234">
        <v>13.959</v>
      </c>
      <c r="N234">
        <v>4.3</v>
      </c>
    </row>
    <row r="235" spans="1:14">
      <c r="A235" t="s">
        <v>145</v>
      </c>
      <c r="B235" t="s">
        <v>20</v>
      </c>
      <c r="C235" t="s">
        <v>1037</v>
      </c>
      <c r="D235" t="s">
        <v>28</v>
      </c>
      <c r="E235">
        <v>81.97</v>
      </c>
      <c r="F235">
        <v>10</v>
      </c>
      <c r="G235">
        <v>40.984999999999999</v>
      </c>
      <c r="H235">
        <v>860.68499999999995</v>
      </c>
      <c r="I235" s="1">
        <v>43527</v>
      </c>
      <c r="J235" s="1">
        <v>0.60416666666666663</v>
      </c>
      <c r="K235" t="s">
        <v>29</v>
      </c>
      <c r="L235">
        <v>819.7</v>
      </c>
      <c r="M235">
        <v>40.984999999999999</v>
      </c>
      <c r="N235">
        <v>9.1999999999999993</v>
      </c>
    </row>
    <row r="236" spans="1:14">
      <c r="A236" t="s">
        <v>819</v>
      </c>
      <c r="B236" t="s">
        <v>27</v>
      </c>
      <c r="C236" t="s">
        <v>1036</v>
      </c>
      <c r="D236" t="s">
        <v>32</v>
      </c>
      <c r="E236">
        <v>44.01</v>
      </c>
      <c r="F236">
        <v>8</v>
      </c>
      <c r="G236">
        <v>17.603999999999999</v>
      </c>
      <c r="H236">
        <v>369.68400000000003</v>
      </c>
      <c r="I236" s="1">
        <v>43527</v>
      </c>
      <c r="J236" s="1">
        <v>0.73333333333333328</v>
      </c>
      <c r="K236" t="s">
        <v>29</v>
      </c>
      <c r="L236">
        <v>352.08</v>
      </c>
      <c r="M236">
        <v>17.603999999999999</v>
      </c>
      <c r="N236">
        <v>8.8000000000000007</v>
      </c>
    </row>
    <row r="237" spans="1:14">
      <c r="A237" t="s">
        <v>331</v>
      </c>
      <c r="B237" t="s">
        <v>20</v>
      </c>
      <c r="C237" t="s">
        <v>1036</v>
      </c>
      <c r="D237" t="s">
        <v>28</v>
      </c>
      <c r="E237">
        <v>51.92</v>
      </c>
      <c r="F237">
        <v>5</v>
      </c>
      <c r="G237">
        <v>12.98</v>
      </c>
      <c r="H237">
        <v>272.58</v>
      </c>
      <c r="I237" s="1">
        <v>43527</v>
      </c>
      <c r="J237" s="1">
        <v>0.5708333333333333</v>
      </c>
      <c r="K237" t="s">
        <v>29</v>
      </c>
      <c r="L237">
        <v>259.60000000000002</v>
      </c>
      <c r="M237">
        <v>12.98</v>
      </c>
      <c r="N237">
        <v>7.5</v>
      </c>
    </row>
    <row r="238" spans="1:14">
      <c r="A238" t="s">
        <v>79</v>
      </c>
      <c r="B238" t="s">
        <v>20</v>
      </c>
      <c r="C238" t="s">
        <v>1036</v>
      </c>
      <c r="D238" t="s">
        <v>44</v>
      </c>
      <c r="E238">
        <v>98.7</v>
      </c>
      <c r="F238">
        <v>8</v>
      </c>
      <c r="G238">
        <v>39.479999999999997</v>
      </c>
      <c r="H238">
        <v>829.08</v>
      </c>
      <c r="I238" s="1">
        <v>43528</v>
      </c>
      <c r="J238" s="1">
        <v>0.86041666666666672</v>
      </c>
      <c r="K238" t="s">
        <v>29</v>
      </c>
      <c r="L238">
        <v>789.6</v>
      </c>
      <c r="M238">
        <v>39.479999999999997</v>
      </c>
      <c r="N238">
        <v>7.6</v>
      </c>
    </row>
    <row r="239" spans="1:14">
      <c r="A239" t="s">
        <v>390</v>
      </c>
      <c r="B239" t="s">
        <v>27</v>
      </c>
      <c r="C239" t="s">
        <v>1036</v>
      </c>
      <c r="D239" t="s">
        <v>28</v>
      </c>
      <c r="E239">
        <v>30.24</v>
      </c>
      <c r="F239">
        <v>1</v>
      </c>
      <c r="G239">
        <v>1.512</v>
      </c>
      <c r="H239">
        <v>31.751999999999999</v>
      </c>
      <c r="I239" s="1">
        <v>43528</v>
      </c>
      <c r="J239" s="1">
        <v>0.65555555555555556</v>
      </c>
      <c r="K239" t="s">
        <v>29</v>
      </c>
      <c r="L239">
        <v>30.24</v>
      </c>
      <c r="M239">
        <v>1.512</v>
      </c>
      <c r="N239">
        <v>8.4</v>
      </c>
    </row>
    <row r="240" spans="1:14">
      <c r="A240" t="s">
        <v>812</v>
      </c>
      <c r="B240" t="s">
        <v>20</v>
      </c>
      <c r="C240" t="s">
        <v>1037</v>
      </c>
      <c r="D240" t="s">
        <v>22</v>
      </c>
      <c r="E240">
        <v>65.31</v>
      </c>
      <c r="F240">
        <v>7</v>
      </c>
      <c r="G240">
        <v>22.858499999999999</v>
      </c>
      <c r="H240">
        <v>480.02850000000001</v>
      </c>
      <c r="I240" s="1">
        <v>43529</v>
      </c>
      <c r="J240" s="1">
        <v>0.75138888888888888</v>
      </c>
      <c r="K240" t="s">
        <v>33</v>
      </c>
      <c r="L240">
        <v>457.17</v>
      </c>
      <c r="M240">
        <v>22.858499999999999</v>
      </c>
      <c r="N240">
        <v>4.2</v>
      </c>
    </row>
    <row r="241" spans="1:14">
      <c r="A241" t="s">
        <v>121</v>
      </c>
      <c r="B241" t="s">
        <v>27</v>
      </c>
      <c r="C241" t="s">
        <v>1036</v>
      </c>
      <c r="D241" t="s">
        <v>36</v>
      </c>
      <c r="E241">
        <v>83.06</v>
      </c>
      <c r="F241">
        <v>7</v>
      </c>
      <c r="G241">
        <v>29.071000000000002</v>
      </c>
      <c r="H241">
        <v>610.49099999999999</v>
      </c>
      <c r="I241" s="1">
        <v>43529</v>
      </c>
      <c r="J241" s="1">
        <v>0.60486111111111107</v>
      </c>
      <c r="K241" t="s">
        <v>23</v>
      </c>
      <c r="L241">
        <v>581.41999999999996</v>
      </c>
      <c r="M241">
        <v>29.071000000000002</v>
      </c>
      <c r="N241">
        <v>4</v>
      </c>
    </row>
    <row r="242" spans="1:14">
      <c r="A242" t="s">
        <v>273</v>
      </c>
      <c r="B242" t="s">
        <v>20</v>
      </c>
      <c r="C242" t="s">
        <v>1036</v>
      </c>
      <c r="D242" t="s">
        <v>46</v>
      </c>
      <c r="E242">
        <v>44.22</v>
      </c>
      <c r="F242">
        <v>5</v>
      </c>
      <c r="G242">
        <v>11.055</v>
      </c>
      <c r="H242">
        <v>232.155</v>
      </c>
      <c r="I242" s="1">
        <v>43529</v>
      </c>
      <c r="J242" s="1">
        <v>0.71319444444444446</v>
      </c>
      <c r="K242" t="s">
        <v>33</v>
      </c>
      <c r="L242">
        <v>221.1</v>
      </c>
      <c r="M242">
        <v>11.055</v>
      </c>
      <c r="N242">
        <v>8.6</v>
      </c>
    </row>
    <row r="243" spans="1:14">
      <c r="A243" t="s">
        <v>114</v>
      </c>
      <c r="B243" t="s">
        <v>20</v>
      </c>
      <c r="C243" t="s">
        <v>1036</v>
      </c>
      <c r="D243" t="s">
        <v>44</v>
      </c>
      <c r="E243">
        <v>78.31</v>
      </c>
      <c r="F243">
        <v>10</v>
      </c>
      <c r="G243">
        <v>39.155000000000001</v>
      </c>
      <c r="H243">
        <v>822.255</v>
      </c>
      <c r="I243" s="1">
        <v>43529</v>
      </c>
      <c r="J243" s="1">
        <v>0.68333333333333335</v>
      </c>
      <c r="K243" t="s">
        <v>23</v>
      </c>
      <c r="L243">
        <v>783.1</v>
      </c>
      <c r="M243">
        <v>39.155000000000001</v>
      </c>
      <c r="N243">
        <v>6.6</v>
      </c>
    </row>
    <row r="244" spans="1:14">
      <c r="A244" t="s">
        <v>529</v>
      </c>
      <c r="B244" t="s">
        <v>20</v>
      </c>
      <c r="C244" t="s">
        <v>1036</v>
      </c>
      <c r="D244" t="s">
        <v>32</v>
      </c>
      <c r="E244">
        <v>12.12</v>
      </c>
      <c r="F244">
        <v>10</v>
      </c>
      <c r="G244">
        <v>6.06</v>
      </c>
      <c r="H244">
        <v>127.26</v>
      </c>
      <c r="I244" s="1">
        <v>43529</v>
      </c>
      <c r="J244" s="1">
        <v>0.57222222222222219</v>
      </c>
      <c r="K244" t="s">
        <v>33</v>
      </c>
      <c r="L244">
        <v>121.2</v>
      </c>
      <c r="M244">
        <v>6.06</v>
      </c>
      <c r="N244">
        <v>8.4</v>
      </c>
    </row>
    <row r="245" spans="1:14">
      <c r="A245" t="s">
        <v>317</v>
      </c>
      <c r="B245" t="s">
        <v>27</v>
      </c>
      <c r="C245" t="s">
        <v>1037</v>
      </c>
      <c r="D245" t="s">
        <v>32</v>
      </c>
      <c r="E245">
        <v>37</v>
      </c>
      <c r="F245">
        <v>1</v>
      </c>
      <c r="G245">
        <v>1.85</v>
      </c>
      <c r="H245">
        <v>38.85</v>
      </c>
      <c r="I245" s="1">
        <v>43530</v>
      </c>
      <c r="J245" s="1">
        <v>0.56180555555555556</v>
      </c>
      <c r="K245" t="s">
        <v>33</v>
      </c>
      <c r="L245">
        <v>37</v>
      </c>
      <c r="M245">
        <v>1.85</v>
      </c>
      <c r="N245">
        <v>7.9</v>
      </c>
    </row>
    <row r="246" spans="1:14">
      <c r="A246" t="s">
        <v>589</v>
      </c>
      <c r="B246" t="s">
        <v>27</v>
      </c>
      <c r="C246" t="s">
        <v>1037</v>
      </c>
      <c r="D246" t="s">
        <v>28</v>
      </c>
      <c r="E246">
        <v>22.21</v>
      </c>
      <c r="F246">
        <v>6</v>
      </c>
      <c r="G246">
        <v>6.6630000000000003</v>
      </c>
      <c r="H246">
        <v>139.923</v>
      </c>
      <c r="I246" s="1">
        <v>43531</v>
      </c>
      <c r="J246" s="1">
        <v>0.43263888888888891</v>
      </c>
      <c r="K246" t="s">
        <v>33</v>
      </c>
      <c r="L246">
        <v>133.26</v>
      </c>
      <c r="M246">
        <v>6.6630000000000003</v>
      </c>
      <c r="N246">
        <v>8.6</v>
      </c>
    </row>
    <row r="247" spans="1:14">
      <c r="A247" t="s">
        <v>398</v>
      </c>
      <c r="B247" t="s">
        <v>27</v>
      </c>
      <c r="C247" t="s">
        <v>1037</v>
      </c>
      <c r="D247" t="s">
        <v>44</v>
      </c>
      <c r="E247">
        <v>99.79</v>
      </c>
      <c r="F247">
        <v>2</v>
      </c>
      <c r="G247">
        <v>9.9789999999999992</v>
      </c>
      <c r="H247">
        <v>209.559</v>
      </c>
      <c r="I247" s="1">
        <v>43531</v>
      </c>
      <c r="J247" s="1">
        <v>0.85902777777777772</v>
      </c>
      <c r="K247" t="s">
        <v>23</v>
      </c>
      <c r="L247">
        <v>199.58</v>
      </c>
      <c r="M247">
        <v>9.9789999999999992</v>
      </c>
      <c r="N247">
        <v>8</v>
      </c>
    </row>
    <row r="248" spans="1:14">
      <c r="A248" t="s">
        <v>513</v>
      </c>
      <c r="B248" t="s">
        <v>27</v>
      </c>
      <c r="C248" t="s">
        <v>1037</v>
      </c>
      <c r="D248" t="s">
        <v>28</v>
      </c>
      <c r="E248">
        <v>84.07</v>
      </c>
      <c r="F248">
        <v>4</v>
      </c>
      <c r="G248">
        <v>16.814</v>
      </c>
      <c r="H248">
        <v>353.09399999999999</v>
      </c>
      <c r="I248" s="1">
        <v>43531</v>
      </c>
      <c r="J248" s="1">
        <v>0.70416666666666672</v>
      </c>
      <c r="K248" t="s">
        <v>23</v>
      </c>
      <c r="L248">
        <v>336.28</v>
      </c>
      <c r="M248">
        <v>16.814</v>
      </c>
      <c r="N248">
        <v>4.4000000000000004</v>
      </c>
    </row>
    <row r="249" spans="1:14">
      <c r="A249" t="s">
        <v>297</v>
      </c>
      <c r="B249" t="s">
        <v>27</v>
      </c>
      <c r="C249" t="s">
        <v>1036</v>
      </c>
      <c r="D249" t="s">
        <v>46</v>
      </c>
      <c r="E249">
        <v>16.45</v>
      </c>
      <c r="F249">
        <v>4</v>
      </c>
      <c r="G249">
        <v>3.29</v>
      </c>
      <c r="H249">
        <v>69.09</v>
      </c>
      <c r="I249" s="1">
        <v>43531</v>
      </c>
      <c r="J249" s="1">
        <v>0.62013888888888891</v>
      </c>
      <c r="K249" t="s">
        <v>23</v>
      </c>
      <c r="L249">
        <v>65.8</v>
      </c>
      <c r="M249">
        <v>3.29</v>
      </c>
      <c r="N249">
        <v>5.6</v>
      </c>
    </row>
    <row r="250" spans="1:14">
      <c r="A250" t="s">
        <v>181</v>
      </c>
      <c r="B250" t="s">
        <v>27</v>
      </c>
      <c r="C250" t="s">
        <v>1036</v>
      </c>
      <c r="D250" t="s">
        <v>22</v>
      </c>
      <c r="E250">
        <v>46.26</v>
      </c>
      <c r="F250">
        <v>6</v>
      </c>
      <c r="G250">
        <v>13.878</v>
      </c>
      <c r="H250">
        <v>291.43799999999999</v>
      </c>
      <c r="I250" s="1">
        <v>43532</v>
      </c>
      <c r="J250" s="1">
        <v>0.71597222222222223</v>
      </c>
      <c r="K250" t="s">
        <v>33</v>
      </c>
      <c r="L250">
        <v>277.56</v>
      </c>
      <c r="M250">
        <v>13.878</v>
      </c>
      <c r="N250">
        <v>9.5</v>
      </c>
    </row>
    <row r="251" spans="1:14">
      <c r="A251" t="s">
        <v>24</v>
      </c>
      <c r="B251" t="s">
        <v>27</v>
      </c>
      <c r="C251" t="s">
        <v>1036</v>
      </c>
      <c r="D251" t="s">
        <v>28</v>
      </c>
      <c r="E251">
        <v>15.28</v>
      </c>
      <c r="F251">
        <v>5</v>
      </c>
      <c r="G251">
        <v>3.82</v>
      </c>
      <c r="H251">
        <v>80.22</v>
      </c>
      <c r="I251" s="1">
        <v>43532</v>
      </c>
      <c r="J251" s="1">
        <v>0.43680555555555556</v>
      </c>
      <c r="K251" t="s">
        <v>29</v>
      </c>
      <c r="L251">
        <v>76.400000000000006</v>
      </c>
      <c r="M251">
        <v>3.82</v>
      </c>
      <c r="N251">
        <v>9.6</v>
      </c>
    </row>
    <row r="252" spans="1:14">
      <c r="A252" t="s">
        <v>392</v>
      </c>
      <c r="B252" t="s">
        <v>27</v>
      </c>
      <c r="C252" t="s">
        <v>1036</v>
      </c>
      <c r="D252" t="s">
        <v>46</v>
      </c>
      <c r="E252">
        <v>37.549999999999997</v>
      </c>
      <c r="F252">
        <v>10</v>
      </c>
      <c r="G252">
        <v>18.774999999999999</v>
      </c>
      <c r="H252">
        <v>394.27499999999998</v>
      </c>
      <c r="I252" s="1">
        <v>43532</v>
      </c>
      <c r="J252" s="1">
        <v>0.83402777777777781</v>
      </c>
      <c r="K252" t="s">
        <v>33</v>
      </c>
      <c r="L252">
        <v>375.5</v>
      </c>
      <c r="M252">
        <v>18.774999999999999</v>
      </c>
      <c r="N252">
        <v>9.3000000000000007</v>
      </c>
    </row>
    <row r="253" spans="1:14">
      <c r="A253" t="s">
        <v>467</v>
      </c>
      <c r="B253" t="s">
        <v>27</v>
      </c>
      <c r="C253" t="s">
        <v>1037</v>
      </c>
      <c r="D253" t="s">
        <v>44</v>
      </c>
      <c r="E253">
        <v>43.27</v>
      </c>
      <c r="F253">
        <v>2</v>
      </c>
      <c r="G253">
        <v>4.327</v>
      </c>
      <c r="H253">
        <v>90.867000000000004</v>
      </c>
      <c r="I253" s="1">
        <v>43532</v>
      </c>
      <c r="J253" s="1">
        <v>0.70347222222222228</v>
      </c>
      <c r="K253" t="s">
        <v>23</v>
      </c>
      <c r="L253">
        <v>86.54</v>
      </c>
      <c r="M253">
        <v>4.327</v>
      </c>
      <c r="N253">
        <v>5.7</v>
      </c>
    </row>
    <row r="254" spans="1:14">
      <c r="A254" t="s">
        <v>170</v>
      </c>
      <c r="B254" t="s">
        <v>27</v>
      </c>
      <c r="C254" t="s">
        <v>1036</v>
      </c>
      <c r="D254" t="s">
        <v>22</v>
      </c>
      <c r="E254">
        <v>81.3</v>
      </c>
      <c r="F254">
        <v>6</v>
      </c>
      <c r="G254">
        <v>24.39</v>
      </c>
      <c r="H254">
        <v>512.19000000000005</v>
      </c>
      <c r="I254" s="1">
        <v>43532</v>
      </c>
      <c r="J254" s="1">
        <v>0.69652777777777775</v>
      </c>
      <c r="K254" t="s">
        <v>23</v>
      </c>
      <c r="L254">
        <v>487.8</v>
      </c>
      <c r="M254">
        <v>24.39</v>
      </c>
      <c r="N254">
        <v>5.3</v>
      </c>
    </row>
    <row r="255" spans="1:14">
      <c r="A255" t="s">
        <v>474</v>
      </c>
      <c r="B255" t="s">
        <v>20</v>
      </c>
      <c r="C255" t="s">
        <v>1037</v>
      </c>
      <c r="D255" t="s">
        <v>44</v>
      </c>
      <c r="E255">
        <v>17.04</v>
      </c>
      <c r="F255">
        <v>4</v>
      </c>
      <c r="G255">
        <v>3.4079999999999999</v>
      </c>
      <c r="H255">
        <v>71.567999999999998</v>
      </c>
      <c r="I255" s="1">
        <v>43532</v>
      </c>
      <c r="J255" s="1">
        <v>0.84375</v>
      </c>
      <c r="K255" t="s">
        <v>23</v>
      </c>
      <c r="L255">
        <v>68.16</v>
      </c>
      <c r="M255">
        <v>3.4079999999999999</v>
      </c>
      <c r="N255">
        <v>7</v>
      </c>
    </row>
    <row r="256" spans="1:14">
      <c r="A256" t="s">
        <v>647</v>
      </c>
      <c r="B256" t="s">
        <v>20</v>
      </c>
      <c r="C256" t="s">
        <v>1036</v>
      </c>
      <c r="D256" t="s">
        <v>44</v>
      </c>
      <c r="E256">
        <v>98.97</v>
      </c>
      <c r="F256">
        <v>9</v>
      </c>
      <c r="G256">
        <v>44.536499999999997</v>
      </c>
      <c r="H256">
        <v>935.26649999999995</v>
      </c>
      <c r="I256" s="1">
        <v>43533</v>
      </c>
      <c r="J256" s="1">
        <v>0.47430555555555554</v>
      </c>
      <c r="K256" t="s">
        <v>29</v>
      </c>
      <c r="L256">
        <v>890.73</v>
      </c>
      <c r="M256">
        <v>44.536499999999997</v>
      </c>
      <c r="N256">
        <v>6.7</v>
      </c>
    </row>
    <row r="257" spans="1:14">
      <c r="A257" t="s">
        <v>120</v>
      </c>
      <c r="B257" t="s">
        <v>20</v>
      </c>
      <c r="C257" t="s">
        <v>1037</v>
      </c>
      <c r="D257" t="s">
        <v>36</v>
      </c>
      <c r="E257">
        <v>48.91</v>
      </c>
      <c r="F257">
        <v>5</v>
      </c>
      <c r="G257">
        <v>12.227499999999999</v>
      </c>
      <c r="H257">
        <v>256.77749999999997</v>
      </c>
      <c r="I257" s="1">
        <v>43533</v>
      </c>
      <c r="J257" s="1">
        <v>0.4284722222222222</v>
      </c>
      <c r="K257" t="s">
        <v>29</v>
      </c>
      <c r="L257">
        <v>244.55</v>
      </c>
      <c r="M257">
        <v>12.227499999999999</v>
      </c>
      <c r="N257">
        <v>6.6</v>
      </c>
    </row>
    <row r="258" spans="1:14">
      <c r="A258" t="s">
        <v>109</v>
      </c>
      <c r="B258" t="s">
        <v>27</v>
      </c>
      <c r="C258" t="s">
        <v>1036</v>
      </c>
      <c r="D258" t="s">
        <v>28</v>
      </c>
      <c r="E258">
        <v>75.91</v>
      </c>
      <c r="F258">
        <v>6</v>
      </c>
      <c r="G258">
        <v>22.773</v>
      </c>
      <c r="H258">
        <v>478.233</v>
      </c>
      <c r="I258" s="1">
        <v>43533</v>
      </c>
      <c r="J258" s="1">
        <v>0.76458333333333328</v>
      </c>
      <c r="K258" t="s">
        <v>29</v>
      </c>
      <c r="L258">
        <v>455.46</v>
      </c>
      <c r="M258">
        <v>22.773</v>
      </c>
      <c r="N258">
        <v>8.6999999999999993</v>
      </c>
    </row>
    <row r="259" spans="1:14">
      <c r="A259" t="s">
        <v>460</v>
      </c>
      <c r="B259" t="s">
        <v>27</v>
      </c>
      <c r="C259" t="s">
        <v>1037</v>
      </c>
      <c r="D259" t="s">
        <v>46</v>
      </c>
      <c r="E259">
        <v>16.28</v>
      </c>
      <c r="F259">
        <v>1</v>
      </c>
      <c r="G259">
        <v>0.81399999999999995</v>
      </c>
      <c r="H259">
        <v>17.094000000000001</v>
      </c>
      <c r="I259" s="1">
        <v>43533</v>
      </c>
      <c r="J259" s="1">
        <v>0.65</v>
      </c>
      <c r="K259" t="s">
        <v>29</v>
      </c>
      <c r="L259">
        <v>16.28</v>
      </c>
      <c r="M259">
        <v>0.81399999999999995</v>
      </c>
      <c r="N259">
        <v>5</v>
      </c>
    </row>
    <row r="260" spans="1:14">
      <c r="A260" t="s">
        <v>771</v>
      </c>
      <c r="B260" t="s">
        <v>20</v>
      </c>
      <c r="C260" t="s">
        <v>1037</v>
      </c>
      <c r="D260" t="s">
        <v>22</v>
      </c>
      <c r="E260">
        <v>81.95</v>
      </c>
      <c r="F260">
        <v>10</v>
      </c>
      <c r="G260">
        <v>40.975000000000001</v>
      </c>
      <c r="H260">
        <v>860.47500000000002</v>
      </c>
      <c r="I260" s="1">
        <v>43534</v>
      </c>
      <c r="J260" s="1">
        <v>0.52708333333333335</v>
      </c>
      <c r="K260" t="s">
        <v>33</v>
      </c>
      <c r="L260">
        <v>819.5</v>
      </c>
      <c r="M260">
        <v>40.975000000000001</v>
      </c>
      <c r="N260">
        <v>6</v>
      </c>
    </row>
    <row r="261" spans="1:14">
      <c r="A261" t="s">
        <v>483</v>
      </c>
      <c r="B261" t="s">
        <v>27</v>
      </c>
      <c r="C261" t="s">
        <v>1037</v>
      </c>
      <c r="D261" t="s">
        <v>46</v>
      </c>
      <c r="E261">
        <v>45.74</v>
      </c>
      <c r="F261">
        <v>3</v>
      </c>
      <c r="G261">
        <v>6.8609999999999998</v>
      </c>
      <c r="H261">
        <v>144.08099999999999</v>
      </c>
      <c r="I261" s="1">
        <v>43534</v>
      </c>
      <c r="J261" s="1">
        <v>0.73472222222222228</v>
      </c>
      <c r="K261" t="s">
        <v>33</v>
      </c>
      <c r="L261">
        <v>137.22</v>
      </c>
      <c r="M261">
        <v>6.8609999999999998</v>
      </c>
      <c r="N261">
        <v>6.5</v>
      </c>
    </row>
    <row r="262" spans="1:14">
      <c r="A262" t="s">
        <v>956</v>
      </c>
      <c r="B262" t="s">
        <v>20</v>
      </c>
      <c r="C262" t="s">
        <v>1036</v>
      </c>
      <c r="D262" t="s">
        <v>32</v>
      </c>
      <c r="E262">
        <v>35.79</v>
      </c>
      <c r="F262">
        <v>9</v>
      </c>
      <c r="G262">
        <v>16.105499999999999</v>
      </c>
      <c r="H262">
        <v>338.21550000000002</v>
      </c>
      <c r="I262" s="1">
        <v>43534</v>
      </c>
      <c r="J262" s="1">
        <v>0.62916666666666665</v>
      </c>
      <c r="K262" t="s">
        <v>33</v>
      </c>
      <c r="L262">
        <v>322.11</v>
      </c>
      <c r="M262">
        <v>16.105499999999999</v>
      </c>
      <c r="N262">
        <v>5.0999999999999996</v>
      </c>
    </row>
    <row r="263" spans="1:14">
      <c r="A263" t="s">
        <v>354</v>
      </c>
      <c r="B263" t="s">
        <v>20</v>
      </c>
      <c r="C263" t="s">
        <v>1036</v>
      </c>
      <c r="D263" t="s">
        <v>22</v>
      </c>
      <c r="E263">
        <v>29.67</v>
      </c>
      <c r="F263">
        <v>7</v>
      </c>
      <c r="G263">
        <v>10.384499999999999</v>
      </c>
      <c r="H263">
        <v>218.0745</v>
      </c>
      <c r="I263" s="1">
        <v>43535</v>
      </c>
      <c r="J263" s="1">
        <v>0.79027777777777775</v>
      </c>
      <c r="K263" t="s">
        <v>33</v>
      </c>
      <c r="L263">
        <v>207.69</v>
      </c>
      <c r="M263">
        <v>10.384499999999999</v>
      </c>
      <c r="N263">
        <v>8.1</v>
      </c>
    </row>
    <row r="264" spans="1:14">
      <c r="A264" t="s">
        <v>187</v>
      </c>
      <c r="B264" t="s">
        <v>20</v>
      </c>
      <c r="C264" t="s">
        <v>1037</v>
      </c>
      <c r="D264" t="s">
        <v>36</v>
      </c>
      <c r="E264">
        <v>34.56</v>
      </c>
      <c r="F264">
        <v>7</v>
      </c>
      <c r="G264">
        <v>12.096</v>
      </c>
      <c r="H264">
        <v>254.01599999999999</v>
      </c>
      <c r="I264" s="1">
        <v>43535</v>
      </c>
      <c r="J264" s="1">
        <v>0.67152777777777772</v>
      </c>
      <c r="K264" t="s">
        <v>33</v>
      </c>
      <c r="L264">
        <v>241.92</v>
      </c>
      <c r="M264">
        <v>12.096</v>
      </c>
      <c r="N264">
        <v>7.3</v>
      </c>
    </row>
    <row r="265" spans="1:14">
      <c r="A265" t="s">
        <v>422</v>
      </c>
      <c r="B265" t="s">
        <v>27</v>
      </c>
      <c r="C265" t="s">
        <v>1037</v>
      </c>
      <c r="D265" t="s">
        <v>44</v>
      </c>
      <c r="E265">
        <v>46.77</v>
      </c>
      <c r="F265">
        <v>6</v>
      </c>
      <c r="G265">
        <v>14.031000000000001</v>
      </c>
      <c r="H265">
        <v>294.65100000000001</v>
      </c>
      <c r="I265" s="1">
        <v>43535</v>
      </c>
      <c r="J265" s="1">
        <v>0.56736111111111109</v>
      </c>
      <c r="K265" t="s">
        <v>29</v>
      </c>
      <c r="L265">
        <v>280.62</v>
      </c>
      <c r="M265">
        <v>14.031000000000001</v>
      </c>
      <c r="N265">
        <v>6</v>
      </c>
    </row>
    <row r="266" spans="1:14">
      <c r="A266" t="s">
        <v>437</v>
      </c>
      <c r="B266" t="s">
        <v>27</v>
      </c>
      <c r="C266" t="s">
        <v>1037</v>
      </c>
      <c r="D266" t="s">
        <v>32</v>
      </c>
      <c r="E266">
        <v>46.22</v>
      </c>
      <c r="F266">
        <v>4</v>
      </c>
      <c r="G266">
        <v>9.2439999999999998</v>
      </c>
      <c r="H266">
        <v>194.124</v>
      </c>
      <c r="I266" s="1">
        <v>43536</v>
      </c>
      <c r="J266" s="1">
        <v>0.83611111111111114</v>
      </c>
      <c r="K266" t="s">
        <v>33</v>
      </c>
      <c r="L266">
        <v>184.88</v>
      </c>
      <c r="M266">
        <v>9.2439999999999998</v>
      </c>
      <c r="N266">
        <v>6.2</v>
      </c>
    </row>
    <row r="267" spans="1:14">
      <c r="A267" t="s">
        <v>234</v>
      </c>
      <c r="B267" t="s">
        <v>27</v>
      </c>
      <c r="C267" t="s">
        <v>1037</v>
      </c>
      <c r="D267" t="s">
        <v>22</v>
      </c>
      <c r="E267">
        <v>41.5</v>
      </c>
      <c r="F267">
        <v>4</v>
      </c>
      <c r="G267">
        <v>8.3000000000000007</v>
      </c>
      <c r="H267">
        <v>174.3</v>
      </c>
      <c r="I267" s="1">
        <v>43536</v>
      </c>
      <c r="J267" s="1">
        <v>0.83194444444444449</v>
      </c>
      <c r="K267" t="s">
        <v>33</v>
      </c>
      <c r="L267">
        <v>166</v>
      </c>
      <c r="M267">
        <v>8.3000000000000007</v>
      </c>
      <c r="N267">
        <v>8.1999999999999993</v>
      </c>
    </row>
    <row r="268" spans="1:14">
      <c r="A268" t="s">
        <v>727</v>
      </c>
      <c r="B268" t="s">
        <v>20</v>
      </c>
      <c r="C268" t="s">
        <v>1037</v>
      </c>
      <c r="D268" t="s">
        <v>44</v>
      </c>
      <c r="E268">
        <v>55.04</v>
      </c>
      <c r="F268">
        <v>7</v>
      </c>
      <c r="G268">
        <v>19.263999999999999</v>
      </c>
      <c r="H268">
        <v>404.54399999999998</v>
      </c>
      <c r="I268" s="1">
        <v>43536</v>
      </c>
      <c r="J268" s="1">
        <v>0.81874999999999998</v>
      </c>
      <c r="K268" t="s">
        <v>23</v>
      </c>
      <c r="L268">
        <v>385.28</v>
      </c>
      <c r="M268">
        <v>19.263999999999999</v>
      </c>
      <c r="N268">
        <v>5.2</v>
      </c>
    </row>
    <row r="269" spans="1:14">
      <c r="A269" t="s">
        <v>363</v>
      </c>
      <c r="B269" t="s">
        <v>20</v>
      </c>
      <c r="C269" t="s">
        <v>1037</v>
      </c>
      <c r="D269" t="s">
        <v>44</v>
      </c>
      <c r="E269">
        <v>94.26</v>
      </c>
      <c r="F269">
        <v>4</v>
      </c>
      <c r="G269">
        <v>18.852</v>
      </c>
      <c r="H269">
        <v>395.892</v>
      </c>
      <c r="I269" s="1">
        <v>43536</v>
      </c>
      <c r="J269" s="1">
        <v>0.6875</v>
      </c>
      <c r="K269" t="s">
        <v>29</v>
      </c>
      <c r="L269">
        <v>377.04</v>
      </c>
      <c r="M269">
        <v>18.852</v>
      </c>
      <c r="N269">
        <v>8.6</v>
      </c>
    </row>
    <row r="270" spans="1:14">
      <c r="A270" t="s">
        <v>95</v>
      </c>
      <c r="B270" t="s">
        <v>27</v>
      </c>
      <c r="C270" t="s">
        <v>1037</v>
      </c>
      <c r="D270" t="s">
        <v>28</v>
      </c>
      <c r="E270">
        <v>30.61</v>
      </c>
      <c r="F270">
        <v>6</v>
      </c>
      <c r="G270">
        <v>9.1829999999999998</v>
      </c>
      <c r="H270">
        <v>192.84299999999999</v>
      </c>
      <c r="I270" s="1">
        <v>43536</v>
      </c>
      <c r="J270" s="1">
        <v>0.85833333333333328</v>
      </c>
      <c r="K270" t="s">
        <v>29</v>
      </c>
      <c r="L270">
        <v>183.66</v>
      </c>
      <c r="M270">
        <v>9.1829999999999998</v>
      </c>
      <c r="N270">
        <v>9.3000000000000007</v>
      </c>
    </row>
    <row r="271" spans="1:14">
      <c r="A271" t="s">
        <v>924</v>
      </c>
      <c r="B271" t="s">
        <v>27</v>
      </c>
      <c r="C271" t="s">
        <v>1036</v>
      </c>
      <c r="D271" t="s">
        <v>46</v>
      </c>
      <c r="E271">
        <v>12.19</v>
      </c>
      <c r="F271">
        <v>8</v>
      </c>
      <c r="G271">
        <v>4.8760000000000003</v>
      </c>
      <c r="H271">
        <v>102.396</v>
      </c>
      <c r="I271" s="1">
        <v>43537</v>
      </c>
      <c r="J271" s="1">
        <v>0.53263888888888888</v>
      </c>
      <c r="K271" t="s">
        <v>23</v>
      </c>
      <c r="L271">
        <v>97.52</v>
      </c>
      <c r="M271">
        <v>4.8760000000000003</v>
      </c>
      <c r="N271">
        <v>6.8</v>
      </c>
    </row>
    <row r="272" spans="1:14">
      <c r="A272" t="s">
        <v>724</v>
      </c>
      <c r="B272" t="s">
        <v>20</v>
      </c>
      <c r="C272" t="s">
        <v>1037</v>
      </c>
      <c r="D272" t="s">
        <v>36</v>
      </c>
      <c r="E272">
        <v>72.88</v>
      </c>
      <c r="F272">
        <v>2</v>
      </c>
      <c r="G272">
        <v>7.2880000000000003</v>
      </c>
      <c r="H272">
        <v>153.048</v>
      </c>
      <c r="I272" s="1">
        <v>43537</v>
      </c>
      <c r="J272" s="1">
        <v>0.53541666666666665</v>
      </c>
      <c r="K272" t="s">
        <v>29</v>
      </c>
      <c r="L272">
        <v>145.76</v>
      </c>
      <c r="M272">
        <v>7.2880000000000003</v>
      </c>
      <c r="N272">
        <v>6.1</v>
      </c>
    </row>
    <row r="273" spans="1:14">
      <c r="A273" t="s">
        <v>159</v>
      </c>
      <c r="B273" t="s">
        <v>20</v>
      </c>
      <c r="C273" t="s">
        <v>1037</v>
      </c>
      <c r="D273" t="s">
        <v>32</v>
      </c>
      <c r="E273">
        <v>63.91</v>
      </c>
      <c r="F273">
        <v>8</v>
      </c>
      <c r="G273">
        <v>25.564</v>
      </c>
      <c r="H273">
        <v>536.84400000000005</v>
      </c>
      <c r="I273" s="1">
        <v>43537</v>
      </c>
      <c r="J273" s="1">
        <v>0.82777777777777772</v>
      </c>
      <c r="K273" t="s">
        <v>33</v>
      </c>
      <c r="L273">
        <v>511.28</v>
      </c>
      <c r="M273">
        <v>25.564</v>
      </c>
      <c r="N273">
        <v>4.5999999999999996</v>
      </c>
    </row>
    <row r="274" spans="1:14">
      <c r="A274" t="s">
        <v>907</v>
      </c>
      <c r="B274" t="s">
        <v>27</v>
      </c>
      <c r="C274" t="s">
        <v>1037</v>
      </c>
      <c r="D274" t="s">
        <v>46</v>
      </c>
      <c r="E274">
        <v>56.5</v>
      </c>
      <c r="F274">
        <v>1</v>
      </c>
      <c r="G274">
        <v>2.8250000000000002</v>
      </c>
      <c r="H274">
        <v>59.325000000000003</v>
      </c>
      <c r="I274" s="1">
        <v>43537</v>
      </c>
      <c r="J274" s="1">
        <v>0.65625</v>
      </c>
      <c r="K274" t="s">
        <v>23</v>
      </c>
      <c r="L274">
        <v>56.5</v>
      </c>
      <c r="M274">
        <v>2.8250000000000002</v>
      </c>
      <c r="N274">
        <v>9.6</v>
      </c>
    </row>
    <row r="275" spans="1:14">
      <c r="A275" t="s">
        <v>653</v>
      </c>
      <c r="B275" t="s">
        <v>20</v>
      </c>
      <c r="C275" t="s">
        <v>1037</v>
      </c>
      <c r="D275" t="s">
        <v>28</v>
      </c>
      <c r="E275">
        <v>87.91</v>
      </c>
      <c r="F275">
        <v>5</v>
      </c>
      <c r="G275">
        <v>21.977499999999999</v>
      </c>
      <c r="H275">
        <v>461.52749999999997</v>
      </c>
      <c r="I275" s="1">
        <v>43538</v>
      </c>
      <c r="J275" s="1">
        <v>0.75694444444444442</v>
      </c>
      <c r="K275" t="s">
        <v>23</v>
      </c>
      <c r="L275">
        <v>439.55</v>
      </c>
      <c r="M275">
        <v>21.977499999999999</v>
      </c>
      <c r="N275">
        <v>4.4000000000000004</v>
      </c>
    </row>
    <row r="276" spans="1:14">
      <c r="A276" t="s">
        <v>327</v>
      </c>
      <c r="B276" t="s">
        <v>27</v>
      </c>
      <c r="C276" t="s">
        <v>1037</v>
      </c>
      <c r="D276" t="s">
        <v>28</v>
      </c>
      <c r="E276">
        <v>27.85</v>
      </c>
      <c r="F276">
        <v>7</v>
      </c>
      <c r="G276">
        <v>9.7475000000000005</v>
      </c>
      <c r="H276">
        <v>204.69749999999999</v>
      </c>
      <c r="I276" s="1">
        <v>43538</v>
      </c>
      <c r="J276" s="1">
        <v>0.72222222222222221</v>
      </c>
      <c r="K276" t="s">
        <v>23</v>
      </c>
      <c r="L276">
        <v>194.95</v>
      </c>
      <c r="M276">
        <v>9.7475000000000005</v>
      </c>
      <c r="N276">
        <v>6</v>
      </c>
    </row>
    <row r="277" spans="1:14">
      <c r="A277" t="s">
        <v>960</v>
      </c>
      <c r="B277" t="s">
        <v>20</v>
      </c>
      <c r="C277" t="s">
        <v>1036</v>
      </c>
      <c r="D277" t="s">
        <v>36</v>
      </c>
      <c r="E277">
        <v>35.22</v>
      </c>
      <c r="F277">
        <v>6</v>
      </c>
      <c r="G277">
        <v>10.566000000000001</v>
      </c>
      <c r="H277">
        <v>221.886</v>
      </c>
      <c r="I277" s="1">
        <v>43538</v>
      </c>
      <c r="J277" s="1">
        <v>0.5756944444444444</v>
      </c>
      <c r="K277" t="s">
        <v>23</v>
      </c>
      <c r="L277">
        <v>211.32</v>
      </c>
      <c r="M277">
        <v>10.566000000000001</v>
      </c>
      <c r="N277">
        <v>6.5</v>
      </c>
    </row>
    <row r="278" spans="1:14">
      <c r="A278" t="s">
        <v>952</v>
      </c>
      <c r="B278" t="s">
        <v>20</v>
      </c>
      <c r="C278" t="s">
        <v>1037</v>
      </c>
      <c r="D278" t="s">
        <v>36</v>
      </c>
      <c r="E278">
        <v>42.85</v>
      </c>
      <c r="F278">
        <v>1</v>
      </c>
      <c r="G278">
        <v>2.1425000000000001</v>
      </c>
      <c r="H278">
        <v>44.9925</v>
      </c>
      <c r="I278" s="1">
        <v>43538</v>
      </c>
      <c r="J278" s="1">
        <v>0.65</v>
      </c>
      <c r="K278" t="s">
        <v>33</v>
      </c>
      <c r="L278">
        <v>42.85</v>
      </c>
      <c r="M278">
        <v>2.1425000000000001</v>
      </c>
      <c r="N278">
        <v>9.3000000000000007</v>
      </c>
    </row>
    <row r="279" spans="1:14">
      <c r="A279" t="s">
        <v>624</v>
      </c>
      <c r="B279" t="s">
        <v>27</v>
      </c>
      <c r="C279" t="s">
        <v>1037</v>
      </c>
      <c r="D279" t="s">
        <v>46</v>
      </c>
      <c r="E279">
        <v>59.61</v>
      </c>
      <c r="F279">
        <v>10</v>
      </c>
      <c r="G279">
        <v>29.805</v>
      </c>
      <c r="H279">
        <v>625.90499999999997</v>
      </c>
      <c r="I279" s="1">
        <v>43538</v>
      </c>
      <c r="J279" s="1">
        <v>0.46319444444444446</v>
      </c>
      <c r="K279" t="s">
        <v>29</v>
      </c>
      <c r="L279">
        <v>596.1</v>
      </c>
      <c r="M279">
        <v>29.805</v>
      </c>
      <c r="N279">
        <v>5.3</v>
      </c>
    </row>
    <row r="280" spans="1:14">
      <c r="A280" t="s">
        <v>638</v>
      </c>
      <c r="B280" t="s">
        <v>27</v>
      </c>
      <c r="C280" t="s">
        <v>1037</v>
      </c>
      <c r="D280" t="s">
        <v>44</v>
      </c>
      <c r="E280">
        <v>77.56</v>
      </c>
      <c r="F280">
        <v>10</v>
      </c>
      <c r="G280">
        <v>38.78</v>
      </c>
      <c r="H280">
        <v>814.38</v>
      </c>
      <c r="I280" s="1">
        <v>43538</v>
      </c>
      <c r="J280" s="1">
        <v>0.85763888888888884</v>
      </c>
      <c r="K280" t="s">
        <v>23</v>
      </c>
      <c r="L280">
        <v>775.6</v>
      </c>
      <c r="M280">
        <v>38.78</v>
      </c>
      <c r="N280">
        <v>6.9</v>
      </c>
    </row>
    <row r="281" spans="1:14">
      <c r="A281" t="s">
        <v>402</v>
      </c>
      <c r="B281" t="s">
        <v>27</v>
      </c>
      <c r="C281" t="s">
        <v>1036</v>
      </c>
      <c r="D281" t="s">
        <v>28</v>
      </c>
      <c r="E281">
        <v>51.32</v>
      </c>
      <c r="F281">
        <v>9</v>
      </c>
      <c r="G281">
        <v>23.094000000000001</v>
      </c>
      <c r="H281">
        <v>484.97399999999999</v>
      </c>
      <c r="I281" s="1">
        <v>43538</v>
      </c>
      <c r="J281" s="1">
        <v>0.81458333333333333</v>
      </c>
      <c r="K281" t="s">
        <v>29</v>
      </c>
      <c r="L281">
        <v>461.88</v>
      </c>
      <c r="M281">
        <v>23.094000000000001</v>
      </c>
      <c r="N281">
        <v>5.6</v>
      </c>
    </row>
    <row r="282" spans="1:14">
      <c r="A282" t="s">
        <v>302</v>
      </c>
      <c r="B282" t="s">
        <v>27</v>
      </c>
      <c r="C282" t="s">
        <v>1037</v>
      </c>
      <c r="D282" t="s">
        <v>32</v>
      </c>
      <c r="E282">
        <v>35.47</v>
      </c>
      <c r="F282">
        <v>4</v>
      </c>
      <c r="G282">
        <v>7.0940000000000003</v>
      </c>
      <c r="H282">
        <v>148.97399999999999</v>
      </c>
      <c r="I282" s="1">
        <v>43538</v>
      </c>
      <c r="J282" s="1">
        <v>0.72361111111111109</v>
      </c>
      <c r="K282" t="s">
        <v>33</v>
      </c>
      <c r="L282">
        <v>141.88</v>
      </c>
      <c r="M282">
        <v>7.0940000000000003</v>
      </c>
      <c r="N282">
        <v>6.9</v>
      </c>
    </row>
    <row r="283" spans="1:14">
      <c r="A283" t="s">
        <v>408</v>
      </c>
      <c r="B283" t="s">
        <v>27</v>
      </c>
      <c r="C283" t="s">
        <v>1036</v>
      </c>
      <c r="D283" t="s">
        <v>32</v>
      </c>
      <c r="E283">
        <v>70.11</v>
      </c>
      <c r="F283">
        <v>6</v>
      </c>
      <c r="G283">
        <v>21.033000000000001</v>
      </c>
      <c r="H283">
        <v>441.69299999999998</v>
      </c>
      <c r="I283" s="1">
        <v>43538</v>
      </c>
      <c r="J283" s="1">
        <v>0.74583333333333335</v>
      </c>
      <c r="K283" t="s">
        <v>23</v>
      </c>
      <c r="L283">
        <v>420.66</v>
      </c>
      <c r="M283">
        <v>21.033000000000001</v>
      </c>
      <c r="N283">
        <v>5.2</v>
      </c>
    </row>
    <row r="284" spans="1:14">
      <c r="A284" t="s">
        <v>911</v>
      </c>
      <c r="B284" t="s">
        <v>27</v>
      </c>
      <c r="C284" t="s">
        <v>1037</v>
      </c>
      <c r="D284" t="s">
        <v>32</v>
      </c>
      <c r="E284">
        <v>65.260000000000005</v>
      </c>
      <c r="F284">
        <v>8</v>
      </c>
      <c r="G284">
        <v>26.103999999999999</v>
      </c>
      <c r="H284">
        <v>548.18399999999997</v>
      </c>
      <c r="I284" s="1">
        <v>43539</v>
      </c>
      <c r="J284" s="1">
        <v>0.58611111111111114</v>
      </c>
      <c r="K284" t="s">
        <v>23</v>
      </c>
      <c r="L284">
        <v>522.08000000000004</v>
      </c>
      <c r="M284">
        <v>26.103999999999999</v>
      </c>
      <c r="N284">
        <v>6.3</v>
      </c>
    </row>
    <row r="285" spans="1:14">
      <c r="A285" t="s">
        <v>80</v>
      </c>
      <c r="B285" t="s">
        <v>20</v>
      </c>
      <c r="C285" t="s">
        <v>1037</v>
      </c>
      <c r="D285" t="s">
        <v>22</v>
      </c>
      <c r="E285">
        <v>15.37</v>
      </c>
      <c r="F285">
        <v>2</v>
      </c>
      <c r="G285">
        <v>1.5369999999999999</v>
      </c>
      <c r="H285">
        <v>32.277000000000001</v>
      </c>
      <c r="I285" s="1">
        <v>43540</v>
      </c>
      <c r="J285" s="1">
        <v>0.82430555555555551</v>
      </c>
      <c r="K285" t="s">
        <v>29</v>
      </c>
      <c r="L285">
        <v>30.74</v>
      </c>
      <c r="M285">
        <v>1.5369999999999999</v>
      </c>
      <c r="N285">
        <v>7.2</v>
      </c>
    </row>
    <row r="286" spans="1:14">
      <c r="A286" t="s">
        <v>764</v>
      </c>
      <c r="B286" t="s">
        <v>27</v>
      </c>
      <c r="C286" t="s">
        <v>1037</v>
      </c>
      <c r="D286" t="s">
        <v>46</v>
      </c>
      <c r="E286">
        <v>97.26</v>
      </c>
      <c r="F286">
        <v>4</v>
      </c>
      <c r="G286">
        <v>19.452000000000002</v>
      </c>
      <c r="H286">
        <v>408.49200000000002</v>
      </c>
      <c r="I286" s="1">
        <v>43540</v>
      </c>
      <c r="J286" s="1">
        <v>0.6479166666666667</v>
      </c>
      <c r="K286" t="s">
        <v>23</v>
      </c>
      <c r="L286">
        <v>389.04</v>
      </c>
      <c r="M286">
        <v>19.452000000000002</v>
      </c>
      <c r="N286">
        <v>6.8</v>
      </c>
    </row>
    <row r="287" spans="1:14">
      <c r="A287" t="s">
        <v>228</v>
      </c>
      <c r="B287" t="s">
        <v>27</v>
      </c>
      <c r="C287" t="s">
        <v>1036</v>
      </c>
      <c r="D287" t="s">
        <v>44</v>
      </c>
      <c r="E287">
        <v>87.8</v>
      </c>
      <c r="F287">
        <v>9</v>
      </c>
      <c r="G287">
        <v>39.51</v>
      </c>
      <c r="H287">
        <v>829.71</v>
      </c>
      <c r="I287" s="1">
        <v>43540</v>
      </c>
      <c r="J287" s="1">
        <v>0.79722222222222228</v>
      </c>
      <c r="K287" t="s">
        <v>29</v>
      </c>
      <c r="L287">
        <v>790.2</v>
      </c>
      <c r="M287">
        <v>39.51</v>
      </c>
      <c r="N287">
        <v>9.1999999999999993</v>
      </c>
    </row>
    <row r="288" spans="1:14">
      <c r="A288" t="s">
        <v>499</v>
      </c>
      <c r="B288" t="s">
        <v>20</v>
      </c>
      <c r="C288" t="s">
        <v>1036</v>
      </c>
      <c r="D288" t="s">
        <v>44</v>
      </c>
      <c r="E288">
        <v>22.62</v>
      </c>
      <c r="F288">
        <v>1</v>
      </c>
      <c r="G288">
        <v>1.131</v>
      </c>
      <c r="H288">
        <v>23.751000000000001</v>
      </c>
      <c r="I288" s="1">
        <v>43541</v>
      </c>
      <c r="J288" s="1">
        <v>0.79027777777777775</v>
      </c>
      <c r="K288" t="s">
        <v>29</v>
      </c>
      <c r="L288">
        <v>22.62</v>
      </c>
      <c r="M288">
        <v>1.131</v>
      </c>
      <c r="N288">
        <v>6.4</v>
      </c>
    </row>
    <row r="289" spans="1:14">
      <c r="A289" t="s">
        <v>287</v>
      </c>
      <c r="B289" t="s">
        <v>20</v>
      </c>
      <c r="C289" t="s">
        <v>1037</v>
      </c>
      <c r="D289" t="s">
        <v>46</v>
      </c>
      <c r="E289">
        <v>35.19</v>
      </c>
      <c r="F289">
        <v>10</v>
      </c>
      <c r="G289">
        <v>17.594999999999999</v>
      </c>
      <c r="H289">
        <v>369.495</v>
      </c>
      <c r="I289" s="1">
        <v>43541</v>
      </c>
      <c r="J289" s="1">
        <v>0.79583333333333328</v>
      </c>
      <c r="K289" t="s">
        <v>33</v>
      </c>
      <c r="L289">
        <v>351.9</v>
      </c>
      <c r="M289">
        <v>17.594999999999999</v>
      </c>
      <c r="N289">
        <v>8.4</v>
      </c>
    </row>
    <row r="290" spans="1:14">
      <c r="A290" t="s">
        <v>551</v>
      </c>
      <c r="B290" t="s">
        <v>20</v>
      </c>
      <c r="C290" t="s">
        <v>1036</v>
      </c>
      <c r="D290" t="s">
        <v>46</v>
      </c>
      <c r="E290">
        <v>51.47</v>
      </c>
      <c r="F290">
        <v>1</v>
      </c>
      <c r="G290">
        <v>2.5735000000000001</v>
      </c>
      <c r="H290">
        <v>54.043500000000002</v>
      </c>
      <c r="I290" s="1">
        <v>43542</v>
      </c>
      <c r="J290" s="1">
        <v>0.66111111111111109</v>
      </c>
      <c r="K290" t="s">
        <v>23</v>
      </c>
      <c r="L290">
        <v>51.47</v>
      </c>
      <c r="M290">
        <v>2.5735000000000001</v>
      </c>
      <c r="N290">
        <v>8.5</v>
      </c>
    </row>
    <row r="291" spans="1:14">
      <c r="A291" t="s">
        <v>243</v>
      </c>
      <c r="B291" t="s">
        <v>20</v>
      </c>
      <c r="C291" t="s">
        <v>1036</v>
      </c>
      <c r="D291" t="s">
        <v>32</v>
      </c>
      <c r="E291">
        <v>28.53</v>
      </c>
      <c r="F291">
        <v>10</v>
      </c>
      <c r="G291">
        <v>14.265000000000001</v>
      </c>
      <c r="H291">
        <v>299.565</v>
      </c>
      <c r="I291" s="1">
        <v>43542</v>
      </c>
      <c r="J291" s="1">
        <v>0.73472222222222228</v>
      </c>
      <c r="K291" t="s">
        <v>23</v>
      </c>
      <c r="L291">
        <v>285.3</v>
      </c>
      <c r="M291">
        <v>14.265000000000001</v>
      </c>
      <c r="N291">
        <v>7.8</v>
      </c>
    </row>
    <row r="292" spans="1:14">
      <c r="A292" t="s">
        <v>996</v>
      </c>
      <c r="B292" t="s">
        <v>20</v>
      </c>
      <c r="C292" t="s">
        <v>1037</v>
      </c>
      <c r="D292" t="s">
        <v>46</v>
      </c>
      <c r="E292">
        <v>91.98</v>
      </c>
      <c r="F292">
        <v>1</v>
      </c>
      <c r="G292">
        <v>4.5990000000000002</v>
      </c>
      <c r="H292">
        <v>96.578999999999994</v>
      </c>
      <c r="I292" s="1">
        <v>43542</v>
      </c>
      <c r="J292" s="1">
        <v>0.64513888888888893</v>
      </c>
      <c r="K292" t="s">
        <v>29</v>
      </c>
      <c r="L292">
        <v>91.98</v>
      </c>
      <c r="M292">
        <v>4.5990000000000002</v>
      </c>
      <c r="N292">
        <v>9.8000000000000007</v>
      </c>
    </row>
    <row r="293" spans="1:14">
      <c r="A293" t="s">
        <v>677</v>
      </c>
      <c r="B293" t="s">
        <v>20</v>
      </c>
      <c r="C293" t="s">
        <v>1036</v>
      </c>
      <c r="D293" t="s">
        <v>28</v>
      </c>
      <c r="E293">
        <v>88.55</v>
      </c>
      <c r="F293">
        <v>8</v>
      </c>
      <c r="G293">
        <v>35.42</v>
      </c>
      <c r="H293">
        <v>743.82</v>
      </c>
      <c r="I293" s="1">
        <v>43543</v>
      </c>
      <c r="J293" s="1">
        <v>0.64513888888888893</v>
      </c>
      <c r="K293" t="s">
        <v>23</v>
      </c>
      <c r="L293">
        <v>708.4</v>
      </c>
      <c r="M293">
        <v>35.42</v>
      </c>
      <c r="N293">
        <v>4.7</v>
      </c>
    </row>
    <row r="294" spans="1:14">
      <c r="A294" t="s">
        <v>471</v>
      </c>
      <c r="B294" t="s">
        <v>27</v>
      </c>
      <c r="C294" t="s">
        <v>1037</v>
      </c>
      <c r="D294" t="s">
        <v>36</v>
      </c>
      <c r="E294">
        <v>99.24</v>
      </c>
      <c r="F294">
        <v>9</v>
      </c>
      <c r="G294">
        <v>44.658000000000001</v>
      </c>
      <c r="H294">
        <v>937.81799999999998</v>
      </c>
      <c r="I294" s="1">
        <v>43543</v>
      </c>
      <c r="J294" s="1">
        <v>0.79791666666666672</v>
      </c>
      <c r="K294" t="s">
        <v>23</v>
      </c>
      <c r="L294">
        <v>893.16</v>
      </c>
      <c r="M294">
        <v>44.658000000000001</v>
      </c>
      <c r="N294">
        <v>9</v>
      </c>
    </row>
    <row r="295" spans="1:14">
      <c r="A295" t="s">
        <v>747</v>
      </c>
      <c r="B295" t="s">
        <v>20</v>
      </c>
      <c r="C295" t="s">
        <v>1036</v>
      </c>
      <c r="D295" t="s">
        <v>32</v>
      </c>
      <c r="E295">
        <v>75.53</v>
      </c>
      <c r="F295">
        <v>4</v>
      </c>
      <c r="G295">
        <v>15.106</v>
      </c>
      <c r="H295">
        <v>317.226</v>
      </c>
      <c r="I295" s="1">
        <v>43543</v>
      </c>
      <c r="J295" s="1">
        <v>0.66111111111111109</v>
      </c>
      <c r="K295" t="s">
        <v>23</v>
      </c>
      <c r="L295">
        <v>302.12</v>
      </c>
      <c r="M295">
        <v>15.106</v>
      </c>
      <c r="N295">
        <v>8.3000000000000007</v>
      </c>
    </row>
    <row r="296" spans="1:14">
      <c r="A296" t="s">
        <v>673</v>
      </c>
      <c r="B296" t="s">
        <v>27</v>
      </c>
      <c r="C296" t="s">
        <v>1036</v>
      </c>
      <c r="D296" t="s">
        <v>28</v>
      </c>
      <c r="E296">
        <v>46.2</v>
      </c>
      <c r="F296">
        <v>1</v>
      </c>
      <c r="G296">
        <v>2.31</v>
      </c>
      <c r="H296">
        <v>48.51</v>
      </c>
      <c r="I296" s="1">
        <v>43543</v>
      </c>
      <c r="J296" s="1">
        <v>0.51111111111111107</v>
      </c>
      <c r="K296" t="s">
        <v>29</v>
      </c>
      <c r="L296">
        <v>46.2</v>
      </c>
      <c r="M296">
        <v>2.31</v>
      </c>
      <c r="N296">
        <v>6.3</v>
      </c>
    </row>
    <row r="297" spans="1:14">
      <c r="A297" t="s">
        <v>85</v>
      </c>
      <c r="B297" t="s">
        <v>20</v>
      </c>
      <c r="C297" t="s">
        <v>1036</v>
      </c>
      <c r="D297" t="s">
        <v>46</v>
      </c>
      <c r="E297">
        <v>82.63</v>
      </c>
      <c r="F297">
        <v>10</v>
      </c>
      <c r="G297">
        <v>41.314999999999998</v>
      </c>
      <c r="H297">
        <v>867.61500000000001</v>
      </c>
      <c r="I297" s="1">
        <v>43543</v>
      </c>
      <c r="J297" s="1">
        <v>0.71388888888888891</v>
      </c>
      <c r="K297" t="s">
        <v>23</v>
      </c>
      <c r="L297">
        <v>826.3</v>
      </c>
      <c r="M297">
        <v>41.314999999999998</v>
      </c>
      <c r="N297">
        <v>7.9</v>
      </c>
    </row>
    <row r="298" spans="1:14">
      <c r="A298" t="s">
        <v>417</v>
      </c>
      <c r="B298" t="s">
        <v>27</v>
      </c>
      <c r="C298" t="s">
        <v>1036</v>
      </c>
      <c r="D298" t="s">
        <v>28</v>
      </c>
      <c r="E298">
        <v>26.61</v>
      </c>
      <c r="F298">
        <v>2</v>
      </c>
      <c r="G298">
        <v>2.661</v>
      </c>
      <c r="H298">
        <v>55.881</v>
      </c>
      <c r="I298" s="1">
        <v>43543</v>
      </c>
      <c r="J298" s="1">
        <v>0.60763888888888884</v>
      </c>
      <c r="K298" t="s">
        <v>29</v>
      </c>
      <c r="L298">
        <v>53.22</v>
      </c>
      <c r="M298">
        <v>2.661</v>
      </c>
      <c r="N298">
        <v>4.2</v>
      </c>
    </row>
    <row r="299" spans="1:14">
      <c r="A299" t="s">
        <v>183</v>
      </c>
      <c r="B299" t="s">
        <v>27</v>
      </c>
      <c r="C299" t="s">
        <v>1037</v>
      </c>
      <c r="D299" t="s">
        <v>22</v>
      </c>
      <c r="E299">
        <v>66.14</v>
      </c>
      <c r="F299">
        <v>4</v>
      </c>
      <c r="G299">
        <v>13.228</v>
      </c>
      <c r="H299">
        <v>277.78800000000001</v>
      </c>
      <c r="I299" s="1">
        <v>43543</v>
      </c>
      <c r="J299" s="1">
        <v>0.53194444444444444</v>
      </c>
      <c r="K299" t="s">
        <v>33</v>
      </c>
      <c r="L299">
        <v>264.56</v>
      </c>
      <c r="M299">
        <v>13.228</v>
      </c>
      <c r="N299">
        <v>5.6</v>
      </c>
    </row>
    <row r="300" spans="1:14">
      <c r="A300" t="s">
        <v>557</v>
      </c>
      <c r="B300" t="s">
        <v>20</v>
      </c>
      <c r="C300" t="s">
        <v>1036</v>
      </c>
      <c r="D300" t="s">
        <v>32</v>
      </c>
      <c r="E300">
        <v>83.17</v>
      </c>
      <c r="F300">
        <v>6</v>
      </c>
      <c r="G300">
        <v>24.951000000000001</v>
      </c>
      <c r="H300">
        <v>523.971</v>
      </c>
      <c r="I300" s="1">
        <v>43544</v>
      </c>
      <c r="J300" s="1">
        <v>0.47430555555555554</v>
      </c>
      <c r="K300" t="s">
        <v>29</v>
      </c>
      <c r="L300">
        <v>499.02</v>
      </c>
      <c r="M300">
        <v>24.951000000000001</v>
      </c>
      <c r="N300">
        <v>7.3</v>
      </c>
    </row>
    <row r="301" spans="1:14">
      <c r="A301" t="s">
        <v>814</v>
      </c>
      <c r="B301" t="s">
        <v>20</v>
      </c>
      <c r="C301" t="s">
        <v>1037</v>
      </c>
      <c r="D301" t="s">
        <v>36</v>
      </c>
      <c r="E301">
        <v>25.25</v>
      </c>
      <c r="F301">
        <v>5</v>
      </c>
      <c r="G301">
        <v>6.3125</v>
      </c>
      <c r="H301">
        <v>132.5625</v>
      </c>
      <c r="I301" s="1">
        <v>43544</v>
      </c>
      <c r="J301" s="1">
        <v>0.74444444444444446</v>
      </c>
      <c r="K301" t="s">
        <v>29</v>
      </c>
      <c r="L301">
        <v>126.25</v>
      </c>
      <c r="M301">
        <v>6.3125</v>
      </c>
      <c r="N301">
        <v>6.1</v>
      </c>
    </row>
    <row r="302" spans="1:14">
      <c r="A302" t="s">
        <v>314</v>
      </c>
      <c r="B302" t="s">
        <v>20</v>
      </c>
      <c r="C302" t="s">
        <v>1037</v>
      </c>
      <c r="D302" t="s">
        <v>46</v>
      </c>
      <c r="E302">
        <v>70.989999999999995</v>
      </c>
      <c r="F302">
        <v>10</v>
      </c>
      <c r="G302">
        <v>35.494999999999997</v>
      </c>
      <c r="H302">
        <v>745.39499999999998</v>
      </c>
      <c r="I302" s="1">
        <v>43544</v>
      </c>
      <c r="J302" s="1">
        <v>0.68611111111111112</v>
      </c>
      <c r="K302" t="s">
        <v>29</v>
      </c>
      <c r="L302">
        <v>709.9</v>
      </c>
      <c r="M302">
        <v>35.494999999999997</v>
      </c>
      <c r="N302">
        <v>5.7</v>
      </c>
    </row>
    <row r="303" spans="1:14">
      <c r="A303" t="s">
        <v>975</v>
      </c>
      <c r="B303" t="s">
        <v>27</v>
      </c>
      <c r="C303" t="s">
        <v>1036</v>
      </c>
      <c r="D303" t="s">
        <v>44</v>
      </c>
      <c r="E303">
        <v>57.29</v>
      </c>
      <c r="F303">
        <v>6</v>
      </c>
      <c r="G303">
        <v>17.187000000000001</v>
      </c>
      <c r="H303">
        <v>360.92700000000002</v>
      </c>
      <c r="I303" s="1">
        <v>43545</v>
      </c>
      <c r="J303" s="1">
        <v>0.71111111111111114</v>
      </c>
      <c r="K303" t="s">
        <v>23</v>
      </c>
      <c r="L303">
        <v>343.74</v>
      </c>
      <c r="M303">
        <v>17.187000000000001</v>
      </c>
      <c r="N303">
        <v>5.9</v>
      </c>
    </row>
    <row r="304" spans="1:14">
      <c r="A304" t="s">
        <v>776</v>
      </c>
      <c r="B304" t="s">
        <v>27</v>
      </c>
      <c r="C304" t="s">
        <v>1037</v>
      </c>
      <c r="D304" t="s">
        <v>32</v>
      </c>
      <c r="E304">
        <v>55.61</v>
      </c>
      <c r="F304">
        <v>7</v>
      </c>
      <c r="G304">
        <v>19.4635</v>
      </c>
      <c r="H304">
        <v>408.73349999999999</v>
      </c>
      <c r="I304" s="1">
        <v>43547</v>
      </c>
      <c r="J304" s="1">
        <v>0.52847222222222223</v>
      </c>
      <c r="K304" t="s">
        <v>29</v>
      </c>
      <c r="L304">
        <v>389.27</v>
      </c>
      <c r="M304">
        <v>19.4635</v>
      </c>
      <c r="N304">
        <v>8.5</v>
      </c>
    </row>
    <row r="305" spans="1:14">
      <c r="A305" t="s">
        <v>838</v>
      </c>
      <c r="B305" t="s">
        <v>20</v>
      </c>
      <c r="C305" t="s">
        <v>1037</v>
      </c>
      <c r="D305" t="s">
        <v>46</v>
      </c>
      <c r="E305">
        <v>67.39</v>
      </c>
      <c r="F305">
        <v>7</v>
      </c>
      <c r="G305">
        <v>23.586500000000001</v>
      </c>
      <c r="H305">
        <v>495.31650000000002</v>
      </c>
      <c r="I305" s="1">
        <v>43547</v>
      </c>
      <c r="J305" s="1">
        <v>0.55763888888888891</v>
      </c>
      <c r="K305" t="s">
        <v>23</v>
      </c>
      <c r="L305">
        <v>471.73</v>
      </c>
      <c r="M305">
        <v>23.586500000000001</v>
      </c>
      <c r="N305">
        <v>6.9</v>
      </c>
    </row>
    <row r="306" spans="1:14">
      <c r="A306" t="s">
        <v>74</v>
      </c>
      <c r="B306" t="s">
        <v>27</v>
      </c>
      <c r="C306" t="s">
        <v>1036</v>
      </c>
      <c r="D306" t="s">
        <v>22</v>
      </c>
      <c r="E306">
        <v>54.92</v>
      </c>
      <c r="F306">
        <v>8</v>
      </c>
      <c r="G306">
        <v>21.968</v>
      </c>
      <c r="H306">
        <v>461.32799999999997</v>
      </c>
      <c r="I306" s="1">
        <v>43547</v>
      </c>
      <c r="J306" s="1">
        <v>0.55833333333333335</v>
      </c>
      <c r="K306" t="s">
        <v>23</v>
      </c>
      <c r="L306">
        <v>439.36</v>
      </c>
      <c r="M306">
        <v>21.968</v>
      </c>
      <c r="N306">
        <v>7.6</v>
      </c>
    </row>
    <row r="307" spans="1:14">
      <c r="A307" t="s">
        <v>772</v>
      </c>
      <c r="B307" t="s">
        <v>20</v>
      </c>
      <c r="C307" t="s">
        <v>1036</v>
      </c>
      <c r="D307" t="s">
        <v>32</v>
      </c>
      <c r="E307">
        <v>81.2</v>
      </c>
      <c r="F307">
        <v>7</v>
      </c>
      <c r="G307">
        <v>28.42</v>
      </c>
      <c r="H307">
        <v>596.82000000000005</v>
      </c>
      <c r="I307" s="1">
        <v>43547</v>
      </c>
      <c r="J307" s="1">
        <v>0.66597222222222219</v>
      </c>
      <c r="K307" t="s">
        <v>33</v>
      </c>
      <c r="L307">
        <v>568.4</v>
      </c>
      <c r="M307">
        <v>28.42</v>
      </c>
      <c r="N307">
        <v>8.1</v>
      </c>
    </row>
    <row r="308" spans="1:14">
      <c r="A308" t="s">
        <v>864</v>
      </c>
      <c r="B308" t="s">
        <v>27</v>
      </c>
      <c r="C308" t="s">
        <v>1037</v>
      </c>
      <c r="D308" t="s">
        <v>28</v>
      </c>
      <c r="E308">
        <v>64.95</v>
      </c>
      <c r="F308">
        <v>10</v>
      </c>
      <c r="G308">
        <v>32.475000000000001</v>
      </c>
      <c r="H308">
        <v>681.97500000000002</v>
      </c>
      <c r="I308" s="1">
        <v>43548</v>
      </c>
      <c r="J308" s="1">
        <v>0.76875000000000004</v>
      </c>
      <c r="K308" t="s">
        <v>29</v>
      </c>
      <c r="L308">
        <v>649.5</v>
      </c>
      <c r="M308">
        <v>32.475000000000001</v>
      </c>
      <c r="N308">
        <v>5.2</v>
      </c>
    </row>
    <row r="309" spans="1:14">
      <c r="A309" t="s">
        <v>144</v>
      </c>
      <c r="B309" t="s">
        <v>27</v>
      </c>
      <c r="C309" t="s">
        <v>1036</v>
      </c>
      <c r="D309" t="s">
        <v>44</v>
      </c>
      <c r="E309">
        <v>33.979999999999997</v>
      </c>
      <c r="F309">
        <v>9</v>
      </c>
      <c r="G309">
        <v>15.291</v>
      </c>
      <c r="H309">
        <v>321.11099999999999</v>
      </c>
      <c r="I309" s="1">
        <v>43548</v>
      </c>
      <c r="J309" s="1">
        <v>0.4465277777777778</v>
      </c>
      <c r="K309" t="s">
        <v>29</v>
      </c>
      <c r="L309">
        <v>305.82</v>
      </c>
      <c r="M309">
        <v>15.291</v>
      </c>
      <c r="N309">
        <v>4.2</v>
      </c>
    </row>
    <row r="310" spans="1:14">
      <c r="A310" t="s">
        <v>322</v>
      </c>
      <c r="B310" t="s">
        <v>20</v>
      </c>
      <c r="C310" t="s">
        <v>1037</v>
      </c>
      <c r="D310" t="s">
        <v>32</v>
      </c>
      <c r="E310">
        <v>74.86</v>
      </c>
      <c r="F310">
        <v>1</v>
      </c>
      <c r="G310">
        <v>3.7429999999999999</v>
      </c>
      <c r="H310">
        <v>78.602999999999994</v>
      </c>
      <c r="I310" s="1">
        <v>43548</v>
      </c>
      <c r="J310" s="1">
        <v>0.61736111111111114</v>
      </c>
      <c r="K310" t="s">
        <v>29</v>
      </c>
      <c r="L310">
        <v>74.86</v>
      </c>
      <c r="M310">
        <v>3.7429999999999999</v>
      </c>
      <c r="N310">
        <v>6.9</v>
      </c>
    </row>
    <row r="311" spans="1:14">
      <c r="A311" t="s">
        <v>941</v>
      </c>
      <c r="B311" t="s">
        <v>20</v>
      </c>
      <c r="C311" t="s">
        <v>1036</v>
      </c>
      <c r="D311" t="s">
        <v>32</v>
      </c>
      <c r="E311">
        <v>78.38</v>
      </c>
      <c r="F311">
        <v>4</v>
      </c>
      <c r="G311">
        <v>15.676</v>
      </c>
      <c r="H311">
        <v>329.19600000000003</v>
      </c>
      <c r="I311" s="1">
        <v>43548</v>
      </c>
      <c r="J311" s="1">
        <v>0.74722222222222223</v>
      </c>
      <c r="K311" t="s">
        <v>29</v>
      </c>
      <c r="L311">
        <v>313.52</v>
      </c>
      <c r="M311">
        <v>15.676</v>
      </c>
      <c r="N311">
        <v>7.9</v>
      </c>
    </row>
    <row r="312" spans="1:14">
      <c r="A312" t="s">
        <v>370</v>
      </c>
      <c r="B312" t="s">
        <v>20</v>
      </c>
      <c r="C312" t="s">
        <v>1037</v>
      </c>
      <c r="D312" t="s">
        <v>36</v>
      </c>
      <c r="E312">
        <v>14.7</v>
      </c>
      <c r="F312">
        <v>5</v>
      </c>
      <c r="G312">
        <v>3.6749999999999998</v>
      </c>
      <c r="H312">
        <v>77.174999999999997</v>
      </c>
      <c r="I312" s="1">
        <v>43548</v>
      </c>
      <c r="J312" s="1">
        <v>0.57499999999999996</v>
      </c>
      <c r="K312" t="s">
        <v>23</v>
      </c>
      <c r="L312">
        <v>73.5</v>
      </c>
      <c r="M312">
        <v>3.6749999999999998</v>
      </c>
      <c r="N312">
        <v>8.5</v>
      </c>
    </row>
    <row r="313" spans="1:14">
      <c r="A313" t="s">
        <v>436</v>
      </c>
      <c r="B313" t="s">
        <v>27</v>
      </c>
      <c r="C313" t="s">
        <v>1036</v>
      </c>
      <c r="D313" t="s">
        <v>44</v>
      </c>
      <c r="E313">
        <v>39.43</v>
      </c>
      <c r="F313">
        <v>6</v>
      </c>
      <c r="G313">
        <v>11.829000000000001</v>
      </c>
      <c r="H313">
        <v>248.40899999999999</v>
      </c>
      <c r="I313" s="1">
        <v>43549</v>
      </c>
      <c r="J313" s="1">
        <v>0.84583333333333333</v>
      </c>
      <c r="K313" t="s">
        <v>33</v>
      </c>
      <c r="L313">
        <v>236.58</v>
      </c>
      <c r="M313">
        <v>11.829000000000001</v>
      </c>
      <c r="N313">
        <v>9.4</v>
      </c>
    </row>
    <row r="314" spans="1:14">
      <c r="A314" t="s">
        <v>37</v>
      </c>
      <c r="B314" t="s">
        <v>27</v>
      </c>
      <c r="C314" t="s">
        <v>1037</v>
      </c>
      <c r="D314" t="s">
        <v>28</v>
      </c>
      <c r="E314">
        <v>85.39</v>
      </c>
      <c r="F314">
        <v>7</v>
      </c>
      <c r="G314">
        <v>29.886500000000002</v>
      </c>
      <c r="H314">
        <v>627.61649999999997</v>
      </c>
      <c r="I314" s="1">
        <v>43549</v>
      </c>
      <c r="J314" s="1">
        <v>0.77083333333333337</v>
      </c>
      <c r="K314" t="s">
        <v>23</v>
      </c>
      <c r="L314">
        <v>597.73</v>
      </c>
      <c r="M314">
        <v>29.886500000000002</v>
      </c>
      <c r="N314">
        <v>4.0999999999999996</v>
      </c>
    </row>
    <row r="315" spans="1:14">
      <c r="A315" t="s">
        <v>122</v>
      </c>
      <c r="B315" t="s">
        <v>27</v>
      </c>
      <c r="C315" t="s">
        <v>1037</v>
      </c>
      <c r="D315" t="s">
        <v>46</v>
      </c>
      <c r="E315">
        <v>76.52</v>
      </c>
      <c r="F315">
        <v>5</v>
      </c>
      <c r="G315">
        <v>19.13</v>
      </c>
      <c r="H315">
        <v>401.73</v>
      </c>
      <c r="I315" s="1">
        <v>43549</v>
      </c>
      <c r="J315" s="1">
        <v>0.43263888888888891</v>
      </c>
      <c r="K315" t="s">
        <v>29</v>
      </c>
      <c r="L315">
        <v>382.6</v>
      </c>
      <c r="M315">
        <v>19.13</v>
      </c>
      <c r="N315">
        <v>9.9</v>
      </c>
    </row>
    <row r="316" spans="1:14">
      <c r="A316" t="s">
        <v>569</v>
      </c>
      <c r="B316" t="s">
        <v>27</v>
      </c>
      <c r="C316" t="s">
        <v>1036</v>
      </c>
      <c r="D316" t="s">
        <v>44</v>
      </c>
      <c r="E316">
        <v>16.309999999999999</v>
      </c>
      <c r="F316">
        <v>9</v>
      </c>
      <c r="G316">
        <v>7.3395000000000001</v>
      </c>
      <c r="H316">
        <v>154.12950000000001</v>
      </c>
      <c r="I316" s="1">
        <v>43550</v>
      </c>
      <c r="J316" s="1">
        <v>0.43819444444444444</v>
      </c>
      <c r="K316" t="s">
        <v>23</v>
      </c>
      <c r="L316">
        <v>146.79</v>
      </c>
      <c r="M316">
        <v>7.3395000000000001</v>
      </c>
      <c r="N316">
        <v>8.4</v>
      </c>
    </row>
    <row r="317" spans="1:14">
      <c r="A317" t="s">
        <v>136</v>
      </c>
      <c r="B317" t="s">
        <v>20</v>
      </c>
      <c r="C317" t="s">
        <v>1037</v>
      </c>
      <c r="D317" t="s">
        <v>46</v>
      </c>
      <c r="E317">
        <v>48.71</v>
      </c>
      <c r="F317">
        <v>1</v>
      </c>
      <c r="G317">
        <v>2.4355000000000002</v>
      </c>
      <c r="H317">
        <v>51.145499999999998</v>
      </c>
      <c r="I317" s="1">
        <v>43550</v>
      </c>
      <c r="J317" s="1">
        <v>0.80555555555555558</v>
      </c>
      <c r="K317" t="s">
        <v>29</v>
      </c>
      <c r="L317">
        <v>48.71</v>
      </c>
      <c r="M317">
        <v>2.4355000000000002</v>
      </c>
      <c r="N317">
        <v>4.0999999999999996</v>
      </c>
    </row>
    <row r="318" spans="1:14">
      <c r="A318" t="s">
        <v>232</v>
      </c>
      <c r="B318" t="s">
        <v>20</v>
      </c>
      <c r="C318" t="s">
        <v>1037</v>
      </c>
      <c r="D318" t="s">
        <v>22</v>
      </c>
      <c r="E318">
        <v>43.7</v>
      </c>
      <c r="F318">
        <v>2</v>
      </c>
      <c r="G318">
        <v>4.37</v>
      </c>
      <c r="H318">
        <v>91.77</v>
      </c>
      <c r="I318" s="1">
        <v>43550</v>
      </c>
      <c r="J318" s="1">
        <v>0.75208333333333333</v>
      </c>
      <c r="K318" t="s">
        <v>29</v>
      </c>
      <c r="L318">
        <v>87.4</v>
      </c>
      <c r="M318">
        <v>4.37</v>
      </c>
      <c r="N318">
        <v>4.9000000000000004</v>
      </c>
    </row>
    <row r="319" spans="1:14">
      <c r="A319" t="s">
        <v>982</v>
      </c>
      <c r="B319" t="s">
        <v>20</v>
      </c>
      <c r="C319" t="s">
        <v>1037</v>
      </c>
      <c r="D319" t="s">
        <v>28</v>
      </c>
      <c r="E319">
        <v>84.25</v>
      </c>
      <c r="F319">
        <v>2</v>
      </c>
      <c r="G319">
        <v>8.4250000000000007</v>
      </c>
      <c r="H319">
        <v>176.92500000000001</v>
      </c>
      <c r="I319" s="1">
        <v>43550</v>
      </c>
      <c r="J319" s="1">
        <v>0.59236111111111112</v>
      </c>
      <c r="K319" t="s">
        <v>33</v>
      </c>
      <c r="L319">
        <v>168.5</v>
      </c>
      <c r="M319">
        <v>8.4250000000000007</v>
      </c>
      <c r="N319">
        <v>5.3</v>
      </c>
    </row>
    <row r="320" spans="1:14">
      <c r="A320" t="s">
        <v>977</v>
      </c>
      <c r="B320" t="s">
        <v>20</v>
      </c>
      <c r="C320" t="s">
        <v>1037</v>
      </c>
      <c r="D320" t="s">
        <v>46</v>
      </c>
      <c r="E320">
        <v>99.82</v>
      </c>
      <c r="F320">
        <v>9</v>
      </c>
      <c r="G320">
        <v>44.918999999999997</v>
      </c>
      <c r="H320">
        <v>943.29899999999998</v>
      </c>
      <c r="I320" s="1">
        <v>43551</v>
      </c>
      <c r="J320" s="1">
        <v>0.4465277777777778</v>
      </c>
      <c r="K320" t="s">
        <v>29</v>
      </c>
      <c r="L320">
        <v>898.38</v>
      </c>
      <c r="M320">
        <v>44.918999999999997</v>
      </c>
      <c r="N320">
        <v>6.6</v>
      </c>
    </row>
    <row r="321" spans="1:14">
      <c r="A321" t="s">
        <v>456</v>
      </c>
      <c r="B321" t="s">
        <v>20</v>
      </c>
      <c r="C321" t="s">
        <v>1036</v>
      </c>
      <c r="D321" t="s">
        <v>44</v>
      </c>
      <c r="E321">
        <v>38.6</v>
      </c>
      <c r="F321">
        <v>3</v>
      </c>
      <c r="G321">
        <v>5.79</v>
      </c>
      <c r="H321">
        <v>121.59</v>
      </c>
      <c r="I321" s="1">
        <v>43552</v>
      </c>
      <c r="J321" s="1">
        <v>0.58125000000000004</v>
      </c>
      <c r="K321" t="s">
        <v>23</v>
      </c>
      <c r="L321">
        <v>115.8</v>
      </c>
      <c r="M321">
        <v>5.79</v>
      </c>
      <c r="N321">
        <v>7.5</v>
      </c>
    </row>
    <row r="322" spans="1:14">
      <c r="A322" t="s">
        <v>374</v>
      </c>
      <c r="B322" t="s">
        <v>27</v>
      </c>
      <c r="C322" t="s">
        <v>1036</v>
      </c>
      <c r="D322" t="s">
        <v>28</v>
      </c>
      <c r="E322">
        <v>47.65</v>
      </c>
      <c r="F322">
        <v>3</v>
      </c>
      <c r="G322">
        <v>7.1475</v>
      </c>
      <c r="H322">
        <v>150.0975</v>
      </c>
      <c r="I322" s="1">
        <v>43552</v>
      </c>
      <c r="J322" s="1">
        <v>0.54027777777777775</v>
      </c>
      <c r="K322" t="s">
        <v>33</v>
      </c>
      <c r="L322">
        <v>142.94999999999999</v>
      </c>
      <c r="M322">
        <v>7.1475</v>
      </c>
      <c r="N322">
        <v>9.5</v>
      </c>
    </row>
    <row r="323" spans="1:14">
      <c r="A323" t="s">
        <v>643</v>
      </c>
      <c r="B323" t="s">
        <v>20</v>
      </c>
      <c r="C323" t="s">
        <v>1036</v>
      </c>
      <c r="D323" t="s">
        <v>44</v>
      </c>
      <c r="E323">
        <v>49.79</v>
      </c>
      <c r="F323">
        <v>4</v>
      </c>
      <c r="G323">
        <v>9.9580000000000002</v>
      </c>
      <c r="H323">
        <v>209.11799999999999</v>
      </c>
      <c r="I323" s="1">
        <v>43552</v>
      </c>
      <c r="J323" s="1">
        <v>0.80277777777777781</v>
      </c>
      <c r="K323" t="s">
        <v>33</v>
      </c>
      <c r="L323">
        <v>199.16</v>
      </c>
      <c r="M323">
        <v>9.9580000000000002</v>
      </c>
      <c r="N323">
        <v>6.4</v>
      </c>
    </row>
    <row r="324" spans="1:14">
      <c r="A324" t="s">
        <v>1024</v>
      </c>
      <c r="B324" t="s">
        <v>20</v>
      </c>
      <c r="C324" t="s">
        <v>1037</v>
      </c>
      <c r="D324" t="s">
        <v>28</v>
      </c>
      <c r="E324">
        <v>82.34</v>
      </c>
      <c r="F324">
        <v>10</v>
      </c>
      <c r="G324">
        <v>41.17</v>
      </c>
      <c r="H324">
        <v>864.57</v>
      </c>
      <c r="I324" s="1">
        <v>43553</v>
      </c>
      <c r="J324" s="1">
        <v>0.8</v>
      </c>
      <c r="K324" t="s">
        <v>23</v>
      </c>
      <c r="L324">
        <v>823.4</v>
      </c>
      <c r="M324">
        <v>41.17</v>
      </c>
      <c r="N324">
        <v>4.3</v>
      </c>
    </row>
    <row r="325" spans="1:14">
      <c r="A325" t="s">
        <v>332</v>
      </c>
      <c r="B325" t="s">
        <v>27</v>
      </c>
      <c r="C325" t="s">
        <v>1037</v>
      </c>
      <c r="D325" t="s">
        <v>28</v>
      </c>
      <c r="E325">
        <v>28.84</v>
      </c>
      <c r="F325">
        <v>4</v>
      </c>
      <c r="G325">
        <v>5.7679999999999998</v>
      </c>
      <c r="H325">
        <v>121.128</v>
      </c>
      <c r="I325" s="1">
        <v>43553</v>
      </c>
      <c r="J325" s="1">
        <v>0.61388888888888893</v>
      </c>
      <c r="K325" t="s">
        <v>29</v>
      </c>
      <c r="L325">
        <v>115.36</v>
      </c>
      <c r="M325">
        <v>5.7679999999999998</v>
      </c>
      <c r="N325">
        <v>6.4</v>
      </c>
    </row>
    <row r="326" spans="1:14">
      <c r="A326" t="s">
        <v>679</v>
      </c>
      <c r="B326" t="s">
        <v>20</v>
      </c>
      <c r="C326" t="s">
        <v>1036</v>
      </c>
      <c r="D326" t="s">
        <v>44</v>
      </c>
      <c r="E326">
        <v>72.52</v>
      </c>
      <c r="F326">
        <v>8</v>
      </c>
      <c r="G326">
        <v>29.007999999999999</v>
      </c>
      <c r="H326">
        <v>609.16800000000001</v>
      </c>
      <c r="I326" s="1">
        <v>43554</v>
      </c>
      <c r="J326" s="1">
        <v>0.80972222222222223</v>
      </c>
      <c r="K326" t="s">
        <v>33</v>
      </c>
      <c r="L326">
        <v>580.16</v>
      </c>
      <c r="M326">
        <v>29.007999999999999</v>
      </c>
      <c r="N326">
        <v>4</v>
      </c>
    </row>
    <row r="327" spans="1:14">
      <c r="A327" t="s">
        <v>682</v>
      </c>
      <c r="B327" t="s">
        <v>27</v>
      </c>
      <c r="C327" t="s">
        <v>1037</v>
      </c>
      <c r="D327" t="s">
        <v>22</v>
      </c>
      <c r="E327">
        <v>70.209999999999994</v>
      </c>
      <c r="F327">
        <v>6</v>
      </c>
      <c r="G327">
        <v>21.062999999999999</v>
      </c>
      <c r="H327">
        <v>442.32299999999998</v>
      </c>
      <c r="I327" s="1">
        <v>43554</v>
      </c>
      <c r="J327" s="1">
        <v>0.62361111111111112</v>
      </c>
      <c r="K327" t="s">
        <v>29</v>
      </c>
      <c r="L327">
        <v>421.26</v>
      </c>
      <c r="M327">
        <v>21.062999999999999</v>
      </c>
      <c r="N327">
        <v>7.4</v>
      </c>
    </row>
    <row r="328" spans="1:14">
      <c r="A328" t="s">
        <v>999</v>
      </c>
      <c r="B328" t="s">
        <v>20</v>
      </c>
      <c r="C328" t="s">
        <v>1037</v>
      </c>
      <c r="D328" t="s">
        <v>28</v>
      </c>
      <c r="E328">
        <v>96.82</v>
      </c>
      <c r="F328">
        <v>3</v>
      </c>
      <c r="G328">
        <v>14.523</v>
      </c>
      <c r="H328">
        <v>304.983</v>
      </c>
      <c r="I328" s="1">
        <v>43554</v>
      </c>
      <c r="J328" s="1">
        <v>0.85902777777777772</v>
      </c>
      <c r="K328" t="s">
        <v>29</v>
      </c>
      <c r="L328">
        <v>290.45999999999998</v>
      </c>
      <c r="M328">
        <v>14.523</v>
      </c>
      <c r="N328">
        <v>6.7</v>
      </c>
    </row>
    <row r="329" spans="1:14">
      <c r="A329" t="s">
        <v>917</v>
      </c>
      <c r="B329" t="s">
        <v>20</v>
      </c>
      <c r="C329" t="s">
        <v>1036</v>
      </c>
      <c r="D329" t="s">
        <v>46</v>
      </c>
      <c r="E329">
        <v>10.18</v>
      </c>
      <c r="F329">
        <v>8</v>
      </c>
      <c r="G329">
        <v>4.0720000000000001</v>
      </c>
      <c r="H329">
        <v>85.512</v>
      </c>
      <c r="I329" s="1">
        <v>43554</v>
      </c>
      <c r="J329" s="1">
        <v>0.53541666666666665</v>
      </c>
      <c r="K329" t="s">
        <v>33</v>
      </c>
      <c r="L329">
        <v>81.44</v>
      </c>
      <c r="M329">
        <v>4.0720000000000001</v>
      </c>
      <c r="N329">
        <v>9.5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2845-3B01-4782-8D32-275CA1B78586}">
  <sheetPr codeName="Sheet8"/>
  <dimension ref="B4:P17"/>
  <sheetViews>
    <sheetView workbookViewId="0">
      <selection activeCell="P16" sqref="P16"/>
    </sheetView>
  </sheetViews>
  <sheetFormatPr defaultRowHeight="15"/>
  <sheetData>
    <row r="4" spans="2:16">
      <c r="K4" s="4"/>
    </row>
    <row r="14" spans="2:16">
      <c r="B14" t="s">
        <v>1047</v>
      </c>
      <c r="E14" t="s">
        <v>1048</v>
      </c>
      <c r="H14" t="s">
        <v>1038</v>
      </c>
      <c r="P14" t="s">
        <v>1041</v>
      </c>
    </row>
    <row r="15" spans="2:16">
      <c r="B15">
        <f>COUNTIFS(
  BranchC!$C:$C, IF(Inputgender="All","*",Inputgender),
  BranchC!$B:$B, IF(InputCustomertyp="All","*",InputCustomertyp),
  BranchC!$K:$K, IF(InputPayementMethod="All","*",InputPayementMethod)
)</f>
        <v>50</v>
      </c>
      <c r="E15">
        <f>SUMIFS(BranchC!F:F,
  BranchC!$C:$C, IF(Inputgender="All","*",Inputgender),
  BranchC!$B:$B, IF(InputCustomertyp="All","*",InputCustomertyp),
  BranchC!$K:$K, IF(InputPayementMethod="All","*",InputPayementMethod)
)</f>
        <v>255</v>
      </c>
      <c r="H15">
        <f>AVERAGEIFS(
  BranchC!N:N,
  BranchC!$C:$C, IF(Inputgender="All","*",Inputgender),
  BranchC!$B:$B, IF(InputCustomertyp="All","*",InputCustomertyp),
  BranchC!$K:$K, IF(InputPayementMethod="All","*",InputPayementMethod)
)</f>
        <v>7.024</v>
      </c>
      <c r="P15">
        <f>SUMIFS(BranchC!H:H,
  BranchC!$C:$C, IF(Inputgender="All","*",Inputgender),
  BranchC!$B:$B, IF(InputCustomertyp="All","*",InputCustomertyp),
  BranchC!$K:$K, IF(InputPayementMethod="All","*",InputPayementMethod)
)</f>
        <v>16855.167000000001</v>
      </c>
    </row>
    <row r="16" spans="2:16">
      <c r="K16" t="s">
        <v>1058</v>
      </c>
    </row>
    <row r="17" spans="11:11">
      <c r="K17">
        <f>SUMIFS(
  BranchC!M:M,
  BranchC!$C:$C, IF(Inputgender="All","*",Inputgender),
  BranchC!$B:$B, IF(InputCustomertyp="All","*",InputCustomertyp),
  BranchC!$K:$K, IF(InputPayementMethod="All","*",InputPayementMethod)
)</f>
        <v>802.62699999999973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C0C3-DD63-41B3-B4D2-74CCDE85A052}">
  <sheetPr codeName="Sheet9"/>
  <dimension ref="A1:I10"/>
  <sheetViews>
    <sheetView workbookViewId="0">
      <selection activeCell="H8" sqref="H8"/>
    </sheetView>
  </sheetViews>
  <sheetFormatPr defaultRowHeight="15"/>
  <cols>
    <col min="2" max="2" width="12.5703125" bestFit="1" customWidth="1"/>
    <col min="8" max="8" width="23.28515625" customWidth="1"/>
  </cols>
  <sheetData>
    <row r="1" spans="1:9">
      <c r="A1" t="s">
        <v>1040</v>
      </c>
      <c r="B1" t="s">
        <v>1041</v>
      </c>
    </row>
    <row r="2" spans="1:9">
      <c r="A2" t="s">
        <v>18</v>
      </c>
      <c r="B2" s="3">
        <f>BranchARevenue</f>
        <v>20753.554499999998</v>
      </c>
      <c r="C2">
        <f>IF(GraphData!A2=InputBranch,B2,NA())</f>
        <v>20753.554499999998</v>
      </c>
      <c r="D2" t="e">
        <f>IF(GraphData!A2&lt;&gt;'Project Dashboard'!$F$10,B2,NA())</f>
        <v>#N/A</v>
      </c>
    </row>
    <row r="3" spans="1:9">
      <c r="A3" t="s">
        <v>42</v>
      </c>
      <c r="B3" s="3">
        <f>BranchBRevenue</f>
        <v>14182.234499999999</v>
      </c>
      <c r="C3" t="e">
        <f>IF(GraphData!A3=InputBranch,B3,NA())</f>
        <v>#N/A</v>
      </c>
      <c r="D3">
        <f>IF(GraphData!A3&lt;&gt;'Project Dashboard'!$F$10,B3,NA())</f>
        <v>14182.234499999999</v>
      </c>
    </row>
    <row r="4" spans="1:9">
      <c r="A4" t="s">
        <v>25</v>
      </c>
      <c r="B4" s="3">
        <f>BranchCRevenue</f>
        <v>16855.167000000001</v>
      </c>
      <c r="C4" t="e">
        <f>IF(GraphData!A4=InputBranch,B4,NA())</f>
        <v>#N/A</v>
      </c>
      <c r="D4">
        <f>IF(GraphData!A4&lt;&gt;'Project Dashboard'!$F$10,B4,NA())</f>
        <v>16855.167000000001</v>
      </c>
    </row>
    <row r="7" spans="1:9">
      <c r="A7" t="s">
        <v>1040</v>
      </c>
      <c r="B7" t="s">
        <v>1068</v>
      </c>
      <c r="G7" t="s">
        <v>1040</v>
      </c>
      <c r="H7" t="s">
        <v>1043</v>
      </c>
      <c r="I7" t="s">
        <v>1074</v>
      </c>
    </row>
    <row r="8" spans="1:9">
      <c r="A8" t="s">
        <v>18</v>
      </c>
      <c r="B8">
        <f>GrossProfitBranchA</f>
        <v>988.2645</v>
      </c>
      <c r="C8">
        <f>IF(A8=InputBranch,B8,NA())</f>
        <v>988.2645</v>
      </c>
      <c r="D8" t="e">
        <f>IF(A8&lt;&gt;InputBranch,B8,NA())</f>
        <v>#N/A</v>
      </c>
      <c r="G8" t="s">
        <v>18</v>
      </c>
      <c r="H8" t="str">
        <f>MostPayementAFilter</f>
        <v>Ewallet</v>
      </c>
      <c r="I8">
        <f>MostPayementAno</f>
        <v>62</v>
      </c>
    </row>
    <row r="9" spans="1:9">
      <c r="A9" t="s">
        <v>42</v>
      </c>
      <c r="B9">
        <f>GrossProfitBranchB</f>
        <v>675.34450000000004</v>
      </c>
      <c r="C9" t="e">
        <f>IF(A9=InputBranch,B9,NA())</f>
        <v>#N/A</v>
      </c>
      <c r="D9">
        <f>IF(A9&lt;&gt;InputBranch,B9,NA())</f>
        <v>675.34450000000004</v>
      </c>
      <c r="G9" t="s">
        <v>1073</v>
      </c>
      <c r="H9" t="str">
        <f>MostPayementBFilter</f>
        <v>Credit card</v>
      </c>
      <c r="I9">
        <f>MostPayementBNo</f>
        <v>63</v>
      </c>
    </row>
    <row r="10" spans="1:9">
      <c r="A10" t="s">
        <v>25</v>
      </c>
      <c r="B10">
        <f>GrossProfitBranchC</f>
        <v>802.62699999999973</v>
      </c>
      <c r="C10" t="e">
        <f>IF(A10=InputBranch,B10,NA())</f>
        <v>#N/A</v>
      </c>
      <c r="D10">
        <f>IF(A10&lt;&gt;InputBranch,B10,NA())</f>
        <v>802.62699999999973</v>
      </c>
      <c r="G10" t="s">
        <v>25</v>
      </c>
      <c r="H10" t="str">
        <f>MostPayementCfilter</f>
        <v>Credit card</v>
      </c>
      <c r="I10">
        <f>MostPayementCNO</f>
        <v>60</v>
      </c>
    </row>
  </sheetData>
  <sortState ref="B2:B4">
    <sortCondition ref="B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A4A5-7AC9-467A-84D1-23918B494143}">
  <sheetPr codeName="Sheet10">
    <tabColor theme="3"/>
    <pageSetUpPr autoPageBreaks="0"/>
  </sheetPr>
  <dimension ref="A5:P39"/>
  <sheetViews>
    <sheetView showGridLines="0" showRowColHeaders="0" tabSelected="1" topLeftCell="A5" zoomScale="63" zoomScaleNormal="77" workbookViewId="0">
      <selection activeCell="H10" sqref="H10"/>
    </sheetView>
  </sheetViews>
  <sheetFormatPr defaultRowHeight="15"/>
  <cols>
    <col min="2" max="2" width="9.140625" customWidth="1"/>
    <col min="4" max="4" width="16.5703125" customWidth="1"/>
    <col min="6" max="6" width="17.7109375" customWidth="1"/>
    <col min="7" max="7" width="10.28515625" customWidth="1"/>
    <col min="8" max="8" width="19.42578125" customWidth="1"/>
    <col min="9" max="9" width="13.85546875" customWidth="1"/>
    <col min="10" max="10" width="17.7109375" customWidth="1"/>
    <col min="11" max="11" width="28.140625" customWidth="1"/>
    <col min="12" max="12" width="22" customWidth="1"/>
  </cols>
  <sheetData>
    <row r="5" spans="3:13" ht="46.5" customHeight="1" thickBot="1">
      <c r="C5" s="11"/>
      <c r="D5" s="11"/>
      <c r="E5" s="11"/>
      <c r="F5" s="14" t="s">
        <v>1075</v>
      </c>
      <c r="G5" s="12"/>
      <c r="H5" s="12"/>
      <c r="I5" s="11"/>
      <c r="J5" s="11"/>
      <c r="K5" s="11"/>
      <c r="L5" s="15"/>
      <c r="M5" s="15"/>
    </row>
    <row r="9" spans="3:13" ht="24.75">
      <c r="F9" s="13" t="s">
        <v>1</v>
      </c>
      <c r="H9" s="13" t="s">
        <v>4</v>
      </c>
      <c r="J9" s="13" t="s">
        <v>3</v>
      </c>
      <c r="L9" s="13" t="s">
        <v>1076</v>
      </c>
    </row>
    <row r="10" spans="3:13" ht="29.25" customHeight="1">
      <c r="F10" s="16" t="s">
        <v>18</v>
      </c>
      <c r="H10" s="16" t="s">
        <v>1042</v>
      </c>
      <c r="J10" s="16" t="s">
        <v>20</v>
      </c>
      <c r="L10" s="16" t="s">
        <v>23</v>
      </c>
    </row>
    <row r="25" spans="1:16">
      <c r="D25" s="3"/>
    </row>
    <row r="26" spans="1:16" ht="15.75" thickBot="1"/>
    <row r="27" spans="1:16" ht="46.5" customHeight="1">
      <c r="A27" s="18" t="s">
        <v>1077</v>
      </c>
      <c r="B27" s="19"/>
      <c r="C27" s="20"/>
      <c r="E27" s="28" t="s">
        <v>1078</v>
      </c>
      <c r="F27" s="30"/>
      <c r="H27" s="28" t="s">
        <v>1079</v>
      </c>
      <c r="I27" s="29"/>
      <c r="J27" s="30"/>
      <c r="L27" s="21" t="s">
        <v>1080</v>
      </c>
      <c r="N27" s="28" t="s">
        <v>1038</v>
      </c>
      <c r="O27" s="29"/>
      <c r="P27" s="30"/>
    </row>
    <row r="28" spans="1:16" ht="15" customHeight="1">
      <c r="A28" s="42">
        <f>TotalRevenue</f>
        <v>20753.554499999998</v>
      </c>
      <c r="B28" s="43"/>
      <c r="C28" s="44"/>
      <c r="E28" s="48">
        <f>TotalCustomer</f>
        <v>62</v>
      </c>
      <c r="F28" s="49"/>
      <c r="H28" s="22" t="str">
        <f>MostPayementAllBranchFilter</f>
        <v>Credit card</v>
      </c>
      <c r="I28" s="23"/>
      <c r="J28" s="24"/>
      <c r="L28" s="34">
        <f>GrossProfitAllBranch</f>
        <v>2466.2359999999999</v>
      </c>
      <c r="N28" s="36">
        <f>AverageFilter</f>
        <v>7.1177419354838722</v>
      </c>
      <c r="O28" s="37"/>
      <c r="P28" s="38"/>
    </row>
    <row r="29" spans="1:16" ht="15" customHeight="1">
      <c r="A29" s="42"/>
      <c r="B29" s="43"/>
      <c r="C29" s="44"/>
      <c r="E29" s="48"/>
      <c r="F29" s="49"/>
      <c r="H29" s="22"/>
      <c r="I29" s="23"/>
      <c r="J29" s="24"/>
      <c r="L29" s="34"/>
      <c r="N29" s="36"/>
      <c r="O29" s="37"/>
      <c r="P29" s="38"/>
    </row>
    <row r="30" spans="1:16" ht="35.25" customHeight="1" thickBot="1">
      <c r="A30" s="45"/>
      <c r="B30" s="46"/>
      <c r="C30" s="47"/>
      <c r="E30" s="50"/>
      <c r="F30" s="51"/>
      <c r="H30" s="25"/>
      <c r="I30" s="26"/>
      <c r="J30" s="27"/>
      <c r="L30" s="35"/>
      <c r="N30" s="39"/>
      <c r="O30" s="40"/>
      <c r="P30" s="41"/>
    </row>
    <row r="32" spans="1:16" ht="15.75" thickBot="1"/>
    <row r="33" spans="6:12">
      <c r="F33" s="28" t="s">
        <v>1081</v>
      </c>
      <c r="G33" s="29"/>
      <c r="H33" s="29"/>
      <c r="I33" s="30"/>
      <c r="J33" s="28" t="s">
        <v>1082</v>
      </c>
      <c r="K33" s="29"/>
      <c r="L33" s="30"/>
    </row>
    <row r="34" spans="6:12">
      <c r="F34" s="31"/>
      <c r="G34" s="32"/>
      <c r="H34" s="32"/>
      <c r="I34" s="33"/>
      <c r="J34" s="31"/>
      <c r="K34" s="32"/>
      <c r="L34" s="33"/>
    </row>
    <row r="35" spans="6:12">
      <c r="F35" s="31"/>
      <c r="G35" s="32"/>
      <c r="H35" s="32"/>
      <c r="I35" s="33"/>
      <c r="J35" s="31"/>
      <c r="K35" s="32"/>
      <c r="L35" s="33"/>
    </row>
    <row r="36" spans="6:12">
      <c r="F36" s="22" t="str">
        <f>MostPurchasedAllbranch</f>
        <v>Fashion accessories</v>
      </c>
      <c r="G36" s="23"/>
      <c r="H36" s="23"/>
      <c r="I36" s="24"/>
      <c r="J36" s="22" t="str">
        <f>LeastPurchasedAllbranch</f>
        <v>Health and beauty</v>
      </c>
      <c r="K36" s="23"/>
      <c r="L36" s="24"/>
    </row>
    <row r="37" spans="6:12">
      <c r="F37" s="22"/>
      <c r="G37" s="23"/>
      <c r="H37" s="23"/>
      <c r="I37" s="24"/>
      <c r="J37" s="22"/>
      <c r="K37" s="23"/>
      <c r="L37" s="24"/>
    </row>
    <row r="38" spans="6:12">
      <c r="F38" s="22"/>
      <c r="G38" s="23"/>
      <c r="H38" s="23"/>
      <c r="I38" s="24"/>
      <c r="J38" s="22"/>
      <c r="K38" s="23"/>
      <c r="L38" s="24"/>
    </row>
    <row r="39" spans="6:12" ht="15.75" thickBot="1">
      <c r="F39" s="25"/>
      <c r="G39" s="26"/>
      <c r="H39" s="26"/>
      <c r="I39" s="27"/>
      <c r="J39" s="25"/>
      <c r="K39" s="26"/>
      <c r="L39" s="27"/>
    </row>
  </sheetData>
  <sheetProtection sheet="1" objects="1" selectLockedCells="1"/>
  <mergeCells count="12">
    <mergeCell ref="A28:C30"/>
    <mergeCell ref="E27:F27"/>
    <mergeCell ref="E28:F30"/>
    <mergeCell ref="H27:J27"/>
    <mergeCell ref="H28:J30"/>
    <mergeCell ref="F36:I39"/>
    <mergeCell ref="J33:L35"/>
    <mergeCell ref="J36:L39"/>
    <mergeCell ref="L28:L30"/>
    <mergeCell ref="N27:P27"/>
    <mergeCell ref="N28:P30"/>
    <mergeCell ref="F33:I3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88A917-D707-4886-B2AC-049A2AFE73A0}">
          <x14:formula1>
            <xm:f>'Data Validation'!$A$2:$A$5</xm:f>
          </x14:formula1>
          <xm:sqref>F10</xm:sqref>
        </x14:dataValidation>
        <x14:dataValidation type="list" allowBlank="1" showInputMessage="1" showErrorMessage="1" xr:uid="{9A4EDBC4-B568-4B95-BC83-4A91FA1D207A}">
          <x14:formula1>
            <xm:f>'Data Validation'!$B$2:$B$4</xm:f>
          </x14:formula1>
          <xm:sqref>H10</xm:sqref>
        </x14:dataValidation>
        <x14:dataValidation type="list" allowBlank="1" showInputMessage="1" showErrorMessage="1" xr:uid="{2F139DDF-2C18-4733-B37D-EAB8B86E7D28}">
          <x14:formula1>
            <xm:f>'Data Validation'!$A$9:$A$12</xm:f>
          </x14:formula1>
          <xm:sqref>L10</xm:sqref>
        </x14:dataValidation>
        <x14:dataValidation type="list" allowBlank="1" showInputMessage="1" showErrorMessage="1" xr:uid="{1A2917A2-9FED-49CF-BA7F-7EFD051704D9}">
          <x14:formula1>
            <xm:f>'Data Validation'!$E$9:$E$11</xm:f>
          </x14:formula1>
          <xm:sqref>J10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5978-2F95-4E33-88AC-0B78A0D9230A}">
  <sheetPr codeName="Sheet11"/>
  <dimension ref="A1:Q1001"/>
  <sheetViews>
    <sheetView topLeftCell="A8" workbookViewId="0">
      <selection activeCell="D19" sqref="D19:D23"/>
    </sheetView>
  </sheetViews>
  <sheetFormatPr defaultRowHeight="15"/>
  <cols>
    <col min="1" max="1" width="12" bestFit="1" customWidth="1"/>
    <col min="2" max="2" width="9.28515625" bestFit="1" customWidth="1"/>
    <col min="3" max="3" width="10.42578125" bestFit="1" customWidth="1"/>
    <col min="4" max="4" width="16.42578125" bestFit="1" customWidth="1"/>
    <col min="5" max="5" width="10" bestFit="1" customWidth="1"/>
    <col min="6" max="6" width="20.42578125" bestFit="1" customWidth="1"/>
    <col min="7" max="7" width="12" bestFit="1" customWidth="1"/>
    <col min="8" max="8" width="11" bestFit="1" customWidth="1"/>
    <col min="9" max="9" width="9.28515625" bestFit="1" customWidth="1"/>
    <col min="10" max="10" width="9" bestFit="1" customWidth="1"/>
    <col min="11" max="12" width="13.85546875" bestFit="1" customWidth="1"/>
    <col min="13" max="13" width="11.140625" bestFit="1" customWidth="1"/>
    <col min="14" max="14" width="7.140625" bestFit="1" customWidth="1"/>
    <col min="15" max="15" width="25.28515625" bestFit="1" customWidth="1"/>
    <col min="16" max="16" width="14.85546875" bestFit="1" customWidth="1"/>
    <col min="17" max="17" width="8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1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1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1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1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1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1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1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1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1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1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1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1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1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1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1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1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1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1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1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1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1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1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1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1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1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1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1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1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1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1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1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1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1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1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1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1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1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1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1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1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1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1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1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1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1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1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1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1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1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1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1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1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1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1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1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1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1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1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1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1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1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1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1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1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1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1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1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1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1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1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1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1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1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1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1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1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1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1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1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1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1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1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1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1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1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1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1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1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1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1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1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1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1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1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1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1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1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1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1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1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1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1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1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1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1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1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1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1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1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1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1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1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1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1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1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1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1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1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1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1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1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1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1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1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1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1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1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1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1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1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1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1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1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1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1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1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1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1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1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1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1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1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1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1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1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1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1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1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1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1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1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1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1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1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1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1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1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1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1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1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1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1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1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1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1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1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1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1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1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1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1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1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1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1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1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1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1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1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1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1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1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1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1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1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1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1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1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1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1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1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1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1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1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1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1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1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1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1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1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1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1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1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1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1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1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1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1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1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1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1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1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1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1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1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1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1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1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1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1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1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1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1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1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1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1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1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1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1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1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1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1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1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1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1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1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1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1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1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1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1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1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1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1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1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1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1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1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1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1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1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1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1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1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1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1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1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1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1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1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1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1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1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1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1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1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1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1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1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1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1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1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1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1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1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1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1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1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1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1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1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1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1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1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1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1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1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1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1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1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1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1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1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1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1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1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1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1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1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1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1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1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1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1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1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1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1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1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1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1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1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1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1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1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1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1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1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1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1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1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1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1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1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1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1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1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1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1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1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1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1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1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1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1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1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1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1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1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1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1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1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1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1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1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1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1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1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1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1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1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1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1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1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1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1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1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1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1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1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1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1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1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1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1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1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1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1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1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1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1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1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1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1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1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1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1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1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1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1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1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1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1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1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1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1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1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1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1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1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1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1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1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1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1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1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1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1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1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1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1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1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1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1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1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1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1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1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1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1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1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1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1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1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1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1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1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1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1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1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1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1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1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1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1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1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1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1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1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1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1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1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1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1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1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1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1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1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1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1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1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1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1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1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1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1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1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1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1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1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1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1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1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1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1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1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1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1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1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1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1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1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1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1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1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1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1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1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1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1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1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1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1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1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1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1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1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1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1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1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1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1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1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1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1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1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1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1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1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1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1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1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1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1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1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1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1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1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1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1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1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1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1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1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1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1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1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1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1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1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1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1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1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1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1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1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1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1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1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1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1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1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1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1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1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1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1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1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1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1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1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1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1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1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1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1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1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1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1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1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1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1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1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1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1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1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1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1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1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1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1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1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1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1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1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1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1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1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1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1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1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1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1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1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1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1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1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1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1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1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1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1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1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1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1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1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1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1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1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1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1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1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1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1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1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1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1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1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1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1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1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1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1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1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1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1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1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1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1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1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1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1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1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1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1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1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1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1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1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1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1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1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1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1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1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1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1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1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1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1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1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1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1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1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1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1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1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1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1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1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1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1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1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1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1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1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1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1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1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1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1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1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1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1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1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1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1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1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1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1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1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1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1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1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1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1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1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1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1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1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1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1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1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1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1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1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1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1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1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1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1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1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1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1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1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1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1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1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1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1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1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1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1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1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1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1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1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1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1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1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1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1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1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1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1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1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1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1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1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1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1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1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1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1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1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1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1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1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1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1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1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1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1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1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1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1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1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1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1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1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1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1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1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1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1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1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1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1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1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1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1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1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1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1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1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1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1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1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1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1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1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1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1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1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1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1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1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1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1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1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1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1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1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1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1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1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1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1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1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1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1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1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1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1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1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1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1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1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1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1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1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1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1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1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1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1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1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1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1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1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1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1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1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1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1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1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1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1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1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1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1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1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1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1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1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1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1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1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1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1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1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1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1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1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1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1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1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1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1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1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1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1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1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1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1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1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1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1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1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1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1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1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1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1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1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1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1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1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1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1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1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1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1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1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1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1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1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1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1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1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1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1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1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1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1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1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1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1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1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1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1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1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1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1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1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1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1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1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1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1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1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1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1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1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1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1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1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1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1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1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1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1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1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1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1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1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1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1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1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1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1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1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1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1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1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1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1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1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1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1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1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1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1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1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1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1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1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1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1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1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1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1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1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1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1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1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1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1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1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1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1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1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1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1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1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1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1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1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1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1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1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1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1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1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1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1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1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1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1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1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1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1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1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1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1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1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1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1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1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1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1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1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1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1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1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1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1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1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1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1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1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1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1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1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1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1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1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1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1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1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1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1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1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1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1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1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1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1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1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1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1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1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1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1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1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1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1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1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1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1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1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1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1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1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1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1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1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1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1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1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1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1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1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1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1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1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1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1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1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1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1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1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C5AF5A8-89F9-4942-8A0D-BB543F3649C8}">
  <ds:schemaRefs/>
</ds:datastoreItem>
</file>

<file path=customXml/itemProps2.xml><?xml version="1.0" encoding="utf-8"?>
<ds:datastoreItem xmlns:ds="http://schemas.openxmlformats.org/officeDocument/2006/customXml" ds:itemID="{9319A3F5-6C6A-46ED-A48B-DA7A384228BF}">
  <ds:schemaRefs/>
</ds:datastoreItem>
</file>

<file path=customXml/itemProps3.xml><?xml version="1.0" encoding="utf-8"?>
<ds:datastoreItem xmlns:ds="http://schemas.openxmlformats.org/officeDocument/2006/customXml" ds:itemID="{2DE16D60-DBA0-4D4B-83BA-B823EE3709C8}">
  <ds:schemaRefs/>
</ds:datastoreItem>
</file>

<file path=customXml/itemProps4.xml><?xml version="1.0" encoding="utf-8"?>
<ds:datastoreItem xmlns:ds="http://schemas.openxmlformats.org/officeDocument/2006/customXml" ds:itemID="{A36B7C34-CFB4-4A9F-A277-03B244111105}">
  <ds:schemaRefs/>
</ds:datastoreItem>
</file>

<file path=customXml/itemProps5.xml><?xml version="1.0" encoding="utf-8"?>
<ds:datastoreItem xmlns:ds="http://schemas.openxmlformats.org/officeDocument/2006/customXml" ds:itemID="{CEF2D7FB-1D36-4BB7-8269-C986B6128CDB}">
  <ds:schemaRefs/>
</ds:datastoreItem>
</file>

<file path=customXml/itemProps6.xml><?xml version="1.0" encoding="utf-8"?>
<ds:datastoreItem xmlns:ds="http://schemas.openxmlformats.org/officeDocument/2006/customXml" ds:itemID="{EAEF88EC-A74F-4DA2-9AD1-2FF388CF664D}">
  <ds:schemaRefs/>
</ds:datastoreItem>
</file>

<file path=customXml/itemProps7.xml><?xml version="1.0" encoding="utf-8"?>
<ds:datastoreItem xmlns:ds="http://schemas.openxmlformats.org/officeDocument/2006/customXml" ds:itemID="{1F78DA11-E5D9-4CF3-8482-0D1236F09BA5}">
  <ds:schemaRefs/>
</ds:datastoreItem>
</file>

<file path=customXml/itemProps8.xml><?xml version="1.0" encoding="utf-8"?>
<ds:datastoreItem xmlns:ds="http://schemas.openxmlformats.org/officeDocument/2006/customXml" ds:itemID="{F1ED39DE-DC42-4919-9F6C-234ED571037A}">
  <ds:schemaRefs/>
</ds:datastoreItem>
</file>

<file path=customXml/itemProps9.xml><?xml version="1.0" encoding="utf-8"?>
<ds:datastoreItem xmlns:ds="http://schemas.openxmlformats.org/officeDocument/2006/customXml" ds:itemID="{B60A26D3-7C84-4016-9FDA-85DF9EF9B237}">
  <ds:schemaRefs/>
</ds:datastoreItem>
</file>

<file path=customXml/itemProps10.xml><?xml version="1.0" encoding="utf-8"?>
<ds:datastoreItem xmlns:ds="http://schemas.openxmlformats.org/officeDocument/2006/customXml" ds:itemID="{D502205E-D14E-461E-BB51-009257661B40}">
  <ds:schemaRefs/>
</ds:datastoreItem>
</file>

<file path=customXml/itemProps11.xml><?xml version="1.0" encoding="utf-8"?>
<ds:datastoreItem xmlns:ds="http://schemas.openxmlformats.org/officeDocument/2006/customXml" ds:itemID="{53819236-A2F9-4252-B0E6-8F1C6E89D438}">
  <ds:schemaRefs/>
</ds:datastoreItem>
</file>

<file path=customXml/itemProps12.xml><?xml version="1.0" encoding="utf-8"?>
<ds:datastoreItem xmlns:ds="http://schemas.openxmlformats.org/officeDocument/2006/customXml" ds:itemID="{D9DED77C-13AA-4611-87C2-16110EBEE6FB}">
  <ds:schemaRefs/>
</ds:datastoreItem>
</file>

<file path=customXml/itemProps13.xml><?xml version="1.0" encoding="utf-8"?>
<ds:datastoreItem xmlns:ds="http://schemas.openxmlformats.org/officeDocument/2006/customXml" ds:itemID="{E775A405-69C6-42A7-A6B7-5F87316D049E}">
  <ds:schemaRefs/>
</ds:datastoreItem>
</file>

<file path=customXml/itemProps14.xml><?xml version="1.0" encoding="utf-8"?>
<ds:datastoreItem xmlns:ds="http://schemas.openxmlformats.org/officeDocument/2006/customXml" ds:itemID="{A95C2D58-83E7-4DB6-B6AB-025F56D42E67}">
  <ds:schemaRefs/>
</ds:datastoreItem>
</file>

<file path=customXml/itemProps15.xml><?xml version="1.0" encoding="utf-8"?>
<ds:datastoreItem xmlns:ds="http://schemas.openxmlformats.org/officeDocument/2006/customXml" ds:itemID="{E60FA0E5-C19D-419B-8C79-424D8B714B69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7EC9B91-DB95-484B-9A87-D46BCA4C0ACF}">
  <ds:schemaRefs/>
</ds:datastoreItem>
</file>

<file path=customXml/itemProps17.xml><?xml version="1.0" encoding="utf-8"?>
<ds:datastoreItem xmlns:ds="http://schemas.openxmlformats.org/officeDocument/2006/customXml" ds:itemID="{549898B8-9FE1-4BB6-BEB4-0F0828E945A2}">
  <ds:schemaRefs/>
</ds:datastoreItem>
</file>

<file path=customXml/itemProps18.xml><?xml version="1.0" encoding="utf-8"?>
<ds:datastoreItem xmlns:ds="http://schemas.openxmlformats.org/officeDocument/2006/customXml" ds:itemID="{C224DC56-FBF1-4226-AA94-6BBA3CD5F0F6}">
  <ds:schemaRefs/>
</ds:datastoreItem>
</file>

<file path=customXml/itemProps19.xml><?xml version="1.0" encoding="utf-8"?>
<ds:datastoreItem xmlns:ds="http://schemas.openxmlformats.org/officeDocument/2006/customXml" ds:itemID="{9432CE24-B57D-418B-AEEA-30C321BB95F2}">
  <ds:schemaRefs/>
</ds:datastoreItem>
</file>

<file path=customXml/itemProps20.xml><?xml version="1.0" encoding="utf-8"?>
<ds:datastoreItem xmlns:ds="http://schemas.openxmlformats.org/officeDocument/2006/customXml" ds:itemID="{EE4D3639-E6FB-433F-9E04-5A3F129F79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59</vt:i4>
      </vt:variant>
    </vt:vector>
  </HeadingPairs>
  <TitlesOfParts>
    <vt:vector size="70" baseType="lpstr">
      <vt:lpstr>Data Validation</vt:lpstr>
      <vt:lpstr>ProductsnPayements</vt:lpstr>
      <vt:lpstr>BranchA</vt:lpstr>
      <vt:lpstr>BranchA info</vt:lpstr>
      <vt:lpstr>BranchB</vt:lpstr>
      <vt:lpstr>Branch B info</vt:lpstr>
      <vt:lpstr>BranchC</vt:lpstr>
      <vt:lpstr>BranchC info</vt:lpstr>
      <vt:lpstr>GraphData</vt:lpstr>
      <vt:lpstr>Project Dashboard</vt:lpstr>
      <vt:lpstr>SuperMarket Sales Data</vt:lpstr>
      <vt:lpstr>AllAverage</vt:lpstr>
      <vt:lpstr>AllbranchQuantiy</vt:lpstr>
      <vt:lpstr>AllBranchRevenue</vt:lpstr>
      <vt:lpstr>AverageBRating</vt:lpstr>
      <vt:lpstr>AverageCRating</vt:lpstr>
      <vt:lpstr>AverageFilter</vt:lpstr>
      <vt:lpstr>BranchAAverage</vt:lpstr>
      <vt:lpstr>BranchAQuantity</vt:lpstr>
      <vt:lpstr>BranchARevenue</vt:lpstr>
      <vt:lpstr>BranchBQuantity</vt:lpstr>
      <vt:lpstr>BranchBRevenue</vt:lpstr>
      <vt:lpstr>BranchCQuantity</vt:lpstr>
      <vt:lpstr>BranchCRevenue</vt:lpstr>
      <vt:lpstr>BranchQuantityFilter</vt:lpstr>
      <vt:lpstr>CustomerCount</vt:lpstr>
      <vt:lpstr>CustomerCountA</vt:lpstr>
      <vt:lpstr>CustomerCountB</vt:lpstr>
      <vt:lpstr>CustomerCountC</vt:lpstr>
      <vt:lpstr>GrossProfitAllBranch</vt:lpstr>
      <vt:lpstr>GrossProfitBranchA</vt:lpstr>
      <vt:lpstr>GrossProfitBranchB</vt:lpstr>
      <vt:lpstr>GrossProfitBranchC</vt:lpstr>
      <vt:lpstr>GrossProfitFilter</vt:lpstr>
      <vt:lpstr>InputBranch</vt:lpstr>
      <vt:lpstr>InputCustomertyp</vt:lpstr>
      <vt:lpstr>Inputgender</vt:lpstr>
      <vt:lpstr>InputPayementMethod</vt:lpstr>
      <vt:lpstr>LeasPurchasedB</vt:lpstr>
      <vt:lpstr>LeastPurchasedAllbranch</vt:lpstr>
      <vt:lpstr>LeastPurchasedBB</vt:lpstr>
      <vt:lpstr>LeastPurchasedBC</vt:lpstr>
      <vt:lpstr>LeastPurchasedC</vt:lpstr>
      <vt:lpstr>LeastPurchasednumberALLB</vt:lpstr>
      <vt:lpstr>LeastPurchasednumberBA</vt:lpstr>
      <vt:lpstr>LeastPurchaseedA</vt:lpstr>
      <vt:lpstr>LeastPurchaseFilter</vt:lpstr>
      <vt:lpstr>LeastPurchaseFilterNumber</vt:lpstr>
      <vt:lpstr>MostPayementAFilter</vt:lpstr>
      <vt:lpstr>MostPayementAllBranchFilter</vt:lpstr>
      <vt:lpstr>MostPayementAno</vt:lpstr>
      <vt:lpstr>MostPayementBFilter</vt:lpstr>
      <vt:lpstr>MostPayementBNo</vt:lpstr>
      <vt:lpstr>MostPayementCfilter</vt:lpstr>
      <vt:lpstr>MostPayementCNO</vt:lpstr>
      <vt:lpstr>MostPayementNO</vt:lpstr>
      <vt:lpstr>MostpruchasedNumberBA</vt:lpstr>
      <vt:lpstr>MostPurchasedA</vt:lpstr>
      <vt:lpstr>MostPurchasedAllbranch</vt:lpstr>
      <vt:lpstr>MostPurchasedB</vt:lpstr>
      <vt:lpstr>MostPurchasedBB</vt:lpstr>
      <vt:lpstr>MostPurchasedBC</vt:lpstr>
      <vt:lpstr>MostPurchasedC</vt:lpstr>
      <vt:lpstr>MostPurchasedNumberAllB</vt:lpstr>
      <vt:lpstr>MostPurchaseFilter</vt:lpstr>
      <vt:lpstr>MostPurchaseFilterNumber</vt:lpstr>
      <vt:lpstr>PayementFilter</vt:lpstr>
      <vt:lpstr>TotalCustomer</vt:lpstr>
      <vt:lpstr>TotalCustomers</vt:lpstr>
      <vt:lpstr>TotalRevenue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2026-09-06T09:33:32Z</dcterms:created>
  <dcterms:modified xsi:type="dcterms:W3CDTF">2026-09-09T11:23:06Z</dcterms:modified>
</cp:coreProperties>
</file>